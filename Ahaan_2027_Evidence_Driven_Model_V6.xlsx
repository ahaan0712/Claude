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sheets/sheet12.xml" ContentType="application/vnd.openxmlformats-officedocument.spreadsheetml.worksheet+xml"/>
  <Override PartName="/xl/tables/table1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23af941c7a407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a2acc384af648b3"/>
    <x:sheet xmlns:r="http://schemas.openxmlformats.org/officeDocument/2006/relationships" name="Ahaan Profile" sheetId="2" r:id="R3d2a6b955dc44324"/>
    <x:sheet xmlns:r="http://schemas.openxmlformats.org/officeDocument/2006/relationships" name="Company Ranking" sheetId="3" r:id="Re2c200b6c78b43a6"/>
    <x:sheet xmlns:r="http://schemas.openxmlformats.org/officeDocument/2006/relationships" name="Top 40 Action List" sheetId="4" r:id="R9764a3454b35485b"/>
    <x:sheet xmlns:r="http://schemas.openxmlformats.org/officeDocument/2006/relationships" name="Feature Evidence" sheetId="5" r:id="R6560f1592b704fca"/>
    <x:sheet xmlns:r="http://schemas.openxmlformats.org/officeDocument/2006/relationships" name="Historical Roles" sheetId="6" r:id="R73ca97db8fc64df9"/>
    <x:sheet xmlns:r="http://schemas.openxmlformats.org/officeDocument/2006/relationships" name="Current 2027 Roles" sheetId="7" r:id="Re0d742a6000c449d"/>
    <x:sheet xmlns:r="http://schemas.openxmlformats.org/officeDocument/2006/relationships" name="Role-Level Model" sheetId="8" r:id="Ra6c1e7d9f62e4f0d"/>
    <x:sheet xmlns:r="http://schemas.openxmlformats.org/officeDocument/2006/relationships" name="LinkedIn Layer" sheetId="9" r:id="Rfc4b8c5038f741b3"/>
    <x:sheet xmlns:r="http://schemas.openxmlformats.org/officeDocument/2006/relationships" name="Methodology" sheetId="10" r:id="R16ef13c727d34caa"/>
    <x:sheet xmlns:r="http://schemas.openxmlformats.org/officeDocument/2006/relationships" name="Sources" sheetId="11" r:id="R65810933c2334ea2"/>
    <x:sheet xmlns:r="http://schemas.openxmlformats.org/officeDocument/2006/relationships" name="Separate Options" sheetId="12" r:id="R1f75298481c9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%"/>
  </x:numFmts>
  <x:fonts count="11">
    <x:font>
      <x:sz val="11"/>
      <x:name val="Carlito"/>
    </x:font>
    <x:font>
      <x:b/>
      <x:sz val="19"/>
      <x:color rgb="FFFFFFFF"/>
      <x:name val="Carlito"/>
    </x:font>
    <x:font>
      <x:i/>
      <x:sz val="10"/>
      <x:color rgb="FF1F2D3D"/>
      <x:name val="Carlito"/>
    </x:font>
    <x:font>
      <x:b/>
      <x:sz val="10"/>
      <x:color rgb="FF1E40AF"/>
      <x:name val="Carlito"/>
    </x:font>
    <x:font>
      <x:b/>
      <x:sz val="9"/>
      <x:color rgb="FF1F2D3D"/>
      <x:name val="Carlito"/>
    </x:font>
    <x:font>
      <x:b/>
      <x:sz val="22"/>
      <x:color rgb="FF861F41"/>
      <x:name val="Carlito"/>
    </x:font>
    <x:font>
      <x:b/>
      <x:sz val="13"/>
      <x:color rgb="FFFFFFFF"/>
      <x:name val="Carlito"/>
    </x:font>
    <x:font>
      <x:b/>
      <x:sz val="10"/>
      <x:color rgb="FFFFFFFF"/>
      <x:name val="Carlito"/>
    </x:font>
    <x:font>
      <x:sz val="9"/>
      <x:color rgb="FF1F2D3D"/>
      <x:name val="Carlito"/>
    </x:font>
    <x:font>
      <x:sz val="10"/>
      <x:color rgb="FF92400E"/>
      <x:name val="Carlito"/>
    </x:font>
    <x:font>
      <x:b/>
      <x:sz val="10"/>
      <x:color rgb="FF5B21B6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861F41"/>
      </x:patternFill>
    </x:fill>
    <x:fill>
      <x:patternFill patternType="solid">
        <x:fgColor rgb="FFF7E9EF"/>
      </x:patternFill>
    </x:fill>
    <x:fill>
      <x:patternFill patternType="solid">
        <x:fgColor rgb="FFDBEAFE"/>
      </x:patternFill>
    </x:fill>
    <x:fill>
      <x:patternFill patternType="solid">
        <x:fgColor rgb="FFF3F4F6"/>
      </x:patternFill>
    </x:fill>
    <x:fill>
      <x:patternFill patternType="solid">
        <x:fgColor rgb="FFFFFFFF"/>
      </x:patternFill>
    </x:fill>
    <x:fill>
      <x:patternFill patternType="solid">
        <x:fgColor rgb="FFE87722"/>
      </x:patternFill>
    </x:fill>
    <x:fill>
      <x:patternFill patternType="solid">
        <x:fgColor rgb="FF1F2D3D"/>
      </x:patternFill>
    </x:fill>
    <x:fill>
      <x:patternFill patternType="solid">
        <x:fgColor rgb="FFFEF3C7"/>
      </x:patternFill>
    </x:fill>
    <x:fill>
      <x:patternFill patternType="solid">
        <x:fgColor rgb="FFEDE9FE"/>
      </x:patternFill>
    </x:fill>
  </x:fills>
  <x:borders count="14">
    <x:border/>
    <x:border/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left style="thin">
        <x:color rgb="FFD1D5DB"/>
      </x:left>
    </x:border>
    <x:border>
      <x:right style="thin">
        <x:color rgb="FFD1D5DB"/>
      </x:right>
    </x:border>
    <x:border>
      <x:left style="thin">
        <x:color rgb="FFD1D5DB"/>
      </x:left>
      <x:bottom style="thin">
        <x:color rgb="FFD1D5DB"/>
      </x:bottom>
    </x:border>
    <x:border>
      <x:bottom style="thin">
        <x:color rgb="FFD1D5DB"/>
      </x:bottom>
    </x:border>
    <x:border>
      <x:right style="thin">
        <x:color rgb="FFD1D5DB"/>
      </x:right>
      <x:bottom style="thin">
        <x:color rgb="FFD1D5DB"/>
      </x:bottom>
    </x:border>
    <x:border>
      <x:bottom style="thin">
        <x:color rgb="FFE5E7EB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18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horizontal="center"/>
    </x:xf>
    <x:xf numFmtId="0" fontId="4" fillId="5" borderId="0" xfId="0" applyNumberFormat="1" applyFont="1" applyFill="1" applyBorder="1" applyAlignment="1">
      <x:alignment horizontal="center" vertical="center"/>
    </x:xf>
    <x:xf numFmtId="0" fontId="0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horizontal="center"/>
    </x:xf>
    <x:xf numFmtId="0" fontId="4" fillId="5" borderId="1" xfId="0" applyNumberFormat="1" applyFont="1" applyFill="1" applyBorder="1" applyAlignment="1">
      <x:alignment horizontal="center" vertical="center"/>
    </x:xf>
    <x:xf numFmtId="0" fontId="0" fillId="6" borderId="0" xfId="0" applyNumberFormat="1" applyFont="1" applyFill="1" applyBorder="1"/>
    <x:xf numFmtId="0" fontId="5" fillId="6" borderId="0" xfId="0" applyNumberFormat="1" applyFont="1" applyFill="1" applyBorder="1"/>
    <x:xf numFmtId="0" fontId="5" fillId="6" borderId="2" xfId="0" applyNumberFormat="1" applyFont="1" applyFill="1" applyBorder="1"/>
    <x:xf numFmtId="0" fontId="5" fillId="6" borderId="3" xfId="0" applyNumberFormat="1" applyFont="1" applyFill="1" applyBorder="1"/>
    <x:xf numFmtId="0" fontId="5" fillId="6" borderId="4" xfId="0" applyNumberFormat="1" applyFont="1" applyFill="1" applyBorder="1"/>
    <x:xf numFmtId="0" fontId="5" fillId="6" borderId="5" xfId="0" applyNumberFormat="1" applyFont="1" applyFill="1" applyBorder="1"/>
    <x:xf numFmtId="0" fontId="5" fillId="6" borderId="6" xfId="0" applyNumberFormat="1" applyFont="1" applyFill="1" applyBorder="1"/>
    <x:xf numFmtId="0" fontId="5" fillId="6" borderId="2" xfId="0" applyNumberFormat="1" applyFont="1" applyFill="1" applyBorder="1" applyAlignment="1">
      <x:alignment horizontal="center"/>
    </x:xf>
    <x:xf numFmtId="0" fontId="5" fillId="6" borderId="0" xfId="0" applyNumberFormat="1" applyFont="1" applyFill="1" applyBorder="1" applyAlignment="1">
      <x:alignment horizontal="center"/>
    </x:xf>
    <x:xf numFmtId="0" fontId="5" fillId="6" borderId="3" xfId="0" applyNumberFormat="1" applyFont="1" applyFill="1" applyBorder="1" applyAlignment="1">
      <x:alignment horizontal="center"/>
    </x:xf>
    <x:xf numFmtId="0" fontId="5" fillId="6" borderId="4" xfId="0" applyNumberFormat="1" applyFont="1" applyFill="1" applyBorder="1" applyAlignment="1">
      <x:alignment horizontal="center"/>
    </x:xf>
    <x:xf numFmtId="0" fontId="5" fillId="6" borderId="5" xfId="0" applyNumberFormat="1" applyFont="1" applyFill="1" applyBorder="1" applyAlignment="1">
      <x:alignment horizontal="center"/>
    </x:xf>
    <x:xf numFmtId="0" fontId="5" fillId="6" borderId="6" xfId="0" applyNumberFormat="1" applyFont="1" applyFill="1" applyBorder="1" applyAlignment="1">
      <x:alignment horizontal="center"/>
    </x:xf>
    <x:xf numFmtId="0" fontId="5" fillId="6" borderId="2" xfId="0" applyNumberFormat="1" applyFont="1" applyFill="1" applyBorder="1" applyAlignment="1">
      <x:alignment horizontal="center" vertical="center"/>
    </x:xf>
    <x:xf numFmtId="0" fontId="5" fillId="6" borderId="0" xfId="0" applyNumberFormat="1" applyFont="1" applyFill="1" applyBorder="1" applyAlignment="1">
      <x:alignment horizontal="center" vertical="center"/>
    </x:xf>
    <x:xf numFmtId="0" fontId="5" fillId="6" borderId="3" xfId="0" applyNumberFormat="1" applyFont="1" applyFill="1" applyBorder="1" applyAlignment="1">
      <x:alignment horizontal="center" vertical="center"/>
    </x:xf>
    <x:xf numFmtId="0" fontId="5" fillId="6" borderId="4" xfId="0" applyNumberFormat="1" applyFont="1" applyFill="1" applyBorder="1" applyAlignment="1">
      <x:alignment horizontal="center" vertical="center"/>
    </x:xf>
    <x:xf numFmtId="0" fontId="5" fillId="6" borderId="5" xfId="0" applyNumberFormat="1" applyFont="1" applyFill="1" applyBorder="1" applyAlignment="1">
      <x:alignment horizontal="center" vertical="center"/>
    </x:xf>
    <x:xf numFmtId="0" fontId="5" fillId="6" borderId="6" xfId="0" applyNumberFormat="1" applyFont="1" applyFill="1" applyBorder="1" applyAlignment="1">
      <x:alignment horizontal="center" vertical="center"/>
    </x:xf>
    <x:xf numFmtId="0" fontId="0" fillId="6" borderId="1" xfId="0" applyNumberFormat="1" applyFont="1" applyFill="1" applyBorder="1"/>
    <x:xf numFmtId="0" fontId="5" fillId="6" borderId="1" xfId="0" applyNumberFormat="1" applyFont="1" applyFill="1" applyBorder="1"/>
    <x:xf numFmtId="0" fontId="5" fillId="6" borderId="7" xfId="0" applyNumberFormat="1" applyFont="1" applyFill="1" applyBorder="1"/>
    <x:xf numFmtId="0" fontId="5" fillId="6" borderId="8" xfId="0" applyNumberFormat="1" applyFont="1" applyFill="1" applyBorder="1"/>
    <x:xf numFmtId="0" fontId="5" fillId="6" borderId="9" xfId="0" applyNumberFormat="1" applyFont="1" applyFill="1" applyBorder="1"/>
    <x:xf numFmtId="0" fontId="5" fillId="6" borderId="10" xfId="0" applyNumberFormat="1" applyFont="1" applyFill="1" applyBorder="1"/>
    <x:xf numFmtId="0" fontId="5" fillId="6" borderId="11" xfId="0" applyNumberFormat="1" applyFont="1" applyFill="1" applyBorder="1"/>
    <x:xf numFmtId="0" fontId="5" fillId="6" borderId="7" xfId="0" applyNumberFormat="1" applyFont="1" applyFill="1" applyBorder="1" applyAlignment="1">
      <x:alignment horizontal="center"/>
    </x:xf>
    <x:xf numFmtId="0" fontId="5" fillId="6" borderId="1" xfId="0" applyNumberFormat="1" applyFont="1" applyFill="1" applyBorder="1" applyAlignment="1">
      <x:alignment horizontal="center"/>
    </x:xf>
    <x:xf numFmtId="0" fontId="5" fillId="6" borderId="8" xfId="0" applyNumberFormat="1" applyFont="1" applyFill="1" applyBorder="1" applyAlignment="1">
      <x:alignment horizontal="center"/>
    </x:xf>
    <x:xf numFmtId="0" fontId="5" fillId="6" borderId="9" xfId="0" applyNumberFormat="1" applyFont="1" applyFill="1" applyBorder="1" applyAlignment="1">
      <x:alignment horizontal="center"/>
    </x:xf>
    <x:xf numFmtId="0" fontId="5" fillId="6" borderId="10" xfId="0" applyNumberFormat="1" applyFont="1" applyFill="1" applyBorder="1" applyAlignment="1">
      <x:alignment horizontal="center"/>
    </x:xf>
    <x:xf numFmtId="0" fontId="5" fillId="6" borderId="11" xfId="0" applyNumberFormat="1" applyFont="1" applyFill="1" applyBorder="1" applyAlignment="1">
      <x:alignment horizontal="center"/>
    </x:xf>
    <x:xf numFmtId="0" fontId="5" fillId="6" borderId="7" xfId="0" applyNumberFormat="1" applyFont="1" applyFill="1" applyBorder="1" applyAlignment="1">
      <x:alignment horizontal="center" vertical="center"/>
    </x:xf>
    <x:xf numFmtId="0" fontId="5" fillId="6" borderId="1" xfId="0" applyNumberFormat="1" applyFont="1" applyFill="1" applyBorder="1" applyAlignment="1">
      <x:alignment horizontal="center" vertical="center"/>
    </x:xf>
    <x:xf numFmtId="0" fontId="5" fillId="6" borderId="8" xfId="0" applyNumberFormat="1" applyFont="1" applyFill="1" applyBorder="1" applyAlignment="1">
      <x:alignment horizontal="center" vertical="center"/>
    </x:xf>
    <x:xf numFmtId="0" fontId="5" fillId="6" borderId="9" xfId="0" applyNumberFormat="1" applyFont="1" applyFill="1" applyBorder="1" applyAlignment="1">
      <x:alignment horizontal="center" vertical="center"/>
    </x:xf>
    <x:xf numFmtId="0" fontId="5" fillId="6" borderId="10" xfId="0" applyNumberFormat="1" applyFont="1" applyFill="1" applyBorder="1" applyAlignment="1">
      <x:alignment horizontal="center" vertical="center"/>
    </x:xf>
    <x:xf numFmtId="0" fontId="5" fillId="6" borderId="11" xfId="0" applyNumberFormat="1" applyFont="1" applyFill="1" applyBorder="1" applyAlignment="1">
      <x:alignment horizontal="center" vertical="center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0" fillId="8" borderId="0" xfId="0" applyNumberFormat="1" applyFont="1" applyFill="1" applyBorder="1"/>
    <x:xf numFmtId="0" fontId="7" fillId="8" borderId="0" xfId="0" applyNumberFormat="1" applyFont="1" applyFill="1" applyBorder="1"/>
    <x:xf numFmtId="0" fontId="7" fillId="8" borderId="5" xfId="0" applyNumberFormat="1" applyFont="1" applyFill="1" applyBorder="1"/>
    <x:xf numFmtId="0" fontId="7" fillId="8" borderId="5" xfId="0" applyNumberFormat="1" applyFont="1" applyFill="1" applyBorder="1" applyAlignment="1">
      <x:alignment wrapText="1"/>
    </x:xf>
    <x:xf numFmtId="0" fontId="7" fillId="8" borderId="5" xfId="0" applyNumberFormat="1" applyFont="1" applyFill="1" applyBorder="1" applyAlignment="1">
      <x:alignment horizontal="center" wrapText="1"/>
    </x:xf>
    <x:xf numFmtId="0" fontId="7" fillId="8" borderId="5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7" fillId="8" borderId="1" xfId="0" applyNumberFormat="1" applyFont="1" applyFill="1" applyBorder="1"/>
    <x:xf numFmtId="0" fontId="7" fillId="8" borderId="10" xfId="0" applyNumberFormat="1" applyFont="1" applyFill="1" applyBorder="1"/>
    <x:xf numFmtId="0" fontId="7" fillId="8" borderId="10" xfId="0" applyNumberFormat="1" applyFont="1" applyFill="1" applyBorder="1" applyAlignment="1">
      <x:alignment wrapText="1"/>
    </x:xf>
    <x:xf numFmtId="0" fontId="7" fillId="8" borderId="10" xfId="0" applyNumberFormat="1" applyFont="1" applyFill="1" applyBorder="1" applyAlignment="1">
      <x:alignment horizontal="center" wrapText="1"/>
    </x:xf>
    <x:xf numFmtId="0" fontId="7" fillId="8" borderId="10" xfId="0" applyNumberFormat="1" applyFont="1" applyFill="1" applyBorder="1" applyAlignment="1">
      <x:alignment horizontal="center" vertical="center" wrapText="1"/>
    </x:xf>
    <x:xf numFmtId="0" fontId="8" fillId="0" borderId="0" xfId="0" applyNumberFormat="1" applyFont="1" applyFill="1" applyBorder="1"/>
    <x:xf numFmtId="0" fontId="8" fillId="0" borderId="12" xfId="0" applyNumberFormat="1" applyFont="1" applyFill="1" applyBorder="1"/>
    <x:xf numFmtId="0" fontId="8" fillId="0" borderId="0" xfId="0" applyNumberFormat="1" applyFont="1" applyFill="1" applyBorder="1" applyAlignment="1">
      <x:alignment wrapText="1"/>
    </x:xf>
    <x:xf numFmtId="0" fontId="8" fillId="0" borderId="12" xfId="0" applyNumberFormat="1" applyFont="1" applyFill="1" applyBorder="1" applyAlignment="1">
      <x:alignment wrapText="1"/>
    </x:xf>
    <x:xf numFmtId="0" fontId="8" fillId="0" borderId="0" xfId="0" applyNumberFormat="1" applyFont="1" applyFill="1" applyBorder="1" applyAlignment="1">
      <x:alignment vertical="top" wrapText="1"/>
    </x:xf>
    <x:xf numFmtId="0" fontId="8" fillId="0" borderId="12" xfId="0" applyNumberFormat="1" applyFont="1" applyFill="1" applyBorder="1" applyAlignment="1">
      <x:alignment vertical="top" wrapText="1"/>
    </x:xf>
    <x:xf numFmtId="0" fontId="8" fillId="0" borderId="1" xfId="0" applyNumberFormat="1" applyFont="1" applyFill="1" applyBorder="1"/>
    <x:xf numFmtId="0" fontId="8" fillId="0" borderId="13" xfId="0" applyNumberFormat="1" applyFont="1" applyFill="1" applyBorder="1"/>
    <x:xf numFmtId="0" fontId="8" fillId="0" borderId="1" xfId="0" applyNumberFormat="1" applyFont="1" applyFill="1" applyBorder="1" applyAlignment="1">
      <x:alignment wrapText="1"/>
    </x:xf>
    <x:xf numFmtId="0" fontId="8" fillId="0" borderId="13" xfId="0" applyNumberFormat="1" applyFont="1" applyFill="1" applyBorder="1" applyAlignment="1">
      <x:alignment wrapText="1"/>
    </x:xf>
    <x:xf numFmtId="0" fontId="8" fillId="0" borderId="1" xfId="0" applyNumberFormat="1" applyFont="1" applyFill="1" applyBorder="1" applyAlignment="1">
      <x:alignment vertical="top" wrapText="1"/>
    </x:xf>
    <x:xf numFmtId="0" fontId="8" fillId="0" borderId="13" xfId="0" applyNumberFormat="1" applyFont="1" applyFill="1" applyBorder="1" applyAlignment="1">
      <x:alignment vertical="top" wrapText="1"/>
    </x:xf>
    <x:xf numFmtId="200" fontId="8" fillId="0" borderId="0" xfId="0" applyNumberFormat="1" applyFont="1" applyFill="1" applyBorder="1" applyAlignment="1">
      <x:alignment vertical="top" wrapText="1"/>
    </x:xf>
    <x:xf numFmtId="200" fontId="8" fillId="0" borderId="12" xfId="0" applyNumberFormat="1" applyFont="1" applyFill="1" applyBorder="1" applyAlignment="1">
      <x:alignment vertical="top" wrapText="1"/>
    </x:xf>
    <x:xf numFmtId="200" fontId="8" fillId="0" borderId="1" xfId="0" applyNumberFormat="1" applyFont="1" applyFill="1" applyBorder="1" applyAlignment="1">
      <x:alignment vertical="top" wrapText="1"/>
    </x:xf>
    <x:xf numFmtId="200" fontId="8" fillId="0" borderId="13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/>
    <x:xf numFmtId="0" fontId="9" fillId="9" borderId="0" xfId="0" applyNumberFormat="1" applyFont="1" applyFill="1" applyBorder="1"/>
    <x:xf numFmtId="0" fontId="9" fillId="9" borderId="0" xfId="0" applyNumberFormat="1" applyFont="1" applyFill="1" applyBorder="1" applyAlignment="1">
      <x:alignment wrapText="1"/>
    </x:xf>
    <x:xf numFmtId="0" fontId="9" fillId="9" borderId="0" xfId="0" applyNumberFormat="1" applyFont="1" applyFill="1" applyBorder="1" applyAlignment="1">
      <x:alignment vertical="center" wrapText="1"/>
    </x:xf>
    <x:xf numFmtId="0" fontId="0" fillId="9" borderId="1" xfId="0" applyNumberFormat="1" applyFont="1" applyFill="1" applyBorder="1"/>
    <x:xf numFmtId="0" fontId="9" fillId="9" borderId="1" xfId="0" applyNumberFormat="1" applyFont="1" applyFill="1" applyBorder="1"/>
    <x:xf numFmtId="0" fontId="9" fillId="9" borderId="1" xfId="0" applyNumberFormat="1" applyFont="1" applyFill="1" applyBorder="1" applyAlignment="1">
      <x:alignment wrapText="1"/>
    </x:xf>
    <x:xf numFmtId="0" fontId="9" fillId="9" borderId="1" xfId="0" applyNumberFormat="1" applyFont="1" applyFill="1" applyBorder="1" applyAlignment="1">
      <x:alignment vertical="center" wrapText="1"/>
    </x:xf>
    <x:xf numFmtId="0" fontId="0" fillId="10" borderId="0" xfId="0" applyNumberFormat="1" applyFont="1" applyFill="1" applyBorder="1"/>
    <x:xf numFmtId="0" fontId="10" fillId="10" borderId="0" xfId="0" applyNumberFormat="1" applyFont="1" applyFill="1" applyBorder="1"/>
    <x:xf numFmtId="0" fontId="10" fillId="10" borderId="0" xfId="0" applyNumberFormat="1" applyFont="1" applyFill="1" applyBorder="1" applyAlignment="1">
      <x:alignment wrapText="1"/>
    </x:xf>
    <x:xf numFmtId="0" fontId="10" fillId="10" borderId="0" xfId="0" applyNumberFormat="1" applyFont="1" applyFill="1" applyBorder="1" applyAlignment="1">
      <x:alignment vertical="center" wrapText="1"/>
    </x:xf>
    <x:xf numFmtId="0" fontId="0" fillId="10" borderId="1" xfId="0" applyNumberFormat="1" applyFont="1" applyFill="1" applyBorder="1"/>
    <x:xf numFmtId="0" fontId="10" fillId="10" borderId="1" xfId="0" applyNumberFormat="1" applyFont="1" applyFill="1" applyBorder="1"/>
    <x:xf numFmtId="0" fontId="10" fillId="10" borderId="1" xfId="0" applyNumberFormat="1" applyFont="1" applyFill="1" applyBorder="1" applyAlignment="1">
      <x:alignment wrapText="1"/>
    </x:xf>
    <x:xf numFmtId="0" fontId="10" fillId="10" borderId="1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9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1E40AF"/>
      </x:font>
      <x:fill>
        <x:patternFill patternType="solid">
          <x:bgColor rgb="FFDBEAFE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  <x:dxf>
      <x:font>
        <x:b/>
        <x:color rgb="FF92400E"/>
      </x:font>
      <x:fill>
        <x:patternFill patternType="solid">
          <x:bgColor rgb="FFFEF3C7"/>
        </x:patternFill>
      </x:fill>
    </x:dxf>
    <x:dxf>
      <x:font>
        <x:b/>
        <x:color rgb="FF166534"/>
      </x:font>
      <x:fill>
        <x:patternFill patternType="solid">
          <x:bgColor rgb="FFDCFCE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f61ed183bed4e20" /><Relationship Type="http://schemas.openxmlformats.org/officeDocument/2006/relationships/theme" Target="/xl/theme/theme1.xml" Id="R09af126ac9784509" /><Relationship Type="http://schemas.openxmlformats.org/officeDocument/2006/relationships/sharedStrings" Target="/xl/sharedStrings.xml" Id="R1cf8cfd2503847ec" /><Relationship Type="http://schemas.openxmlformats.org/officeDocument/2006/relationships/worksheet" Target="/xl/worksheets/sheet1.xml" Id="R4a2acc384af648b3" /><Relationship Type="http://schemas.openxmlformats.org/officeDocument/2006/relationships/worksheet" Target="/xl/worksheets/sheet2.xml" Id="R3d2a6b955dc44324" /><Relationship Type="http://schemas.openxmlformats.org/officeDocument/2006/relationships/worksheet" Target="/xl/worksheets/sheet3.xml" Id="Re2c200b6c78b43a6" /><Relationship Type="http://schemas.openxmlformats.org/officeDocument/2006/relationships/worksheet" Target="/xl/worksheets/sheet4.xml" Id="R9764a3454b35485b" /><Relationship Type="http://schemas.openxmlformats.org/officeDocument/2006/relationships/worksheet" Target="/xl/worksheets/sheet5.xml" Id="R6560f1592b704fca" /><Relationship Type="http://schemas.openxmlformats.org/officeDocument/2006/relationships/worksheet" Target="/xl/worksheets/sheet6.xml" Id="R73ca97db8fc64df9" /><Relationship Type="http://schemas.openxmlformats.org/officeDocument/2006/relationships/worksheet" Target="/xl/worksheets/sheet7.xml" Id="Re0d742a6000c449d" /><Relationship Type="http://schemas.openxmlformats.org/officeDocument/2006/relationships/worksheet" Target="/xl/worksheets/sheet8.xml" Id="Ra6c1e7d9f62e4f0d" /><Relationship Type="http://schemas.openxmlformats.org/officeDocument/2006/relationships/worksheet" Target="/xl/worksheets/sheet9.xml" Id="Rfc4b8c5038f741b3" /><Relationship Type="http://schemas.openxmlformats.org/officeDocument/2006/relationships/worksheet" Target="/xl/worksheets/sheet10.xml" Id="R16ef13c727d34caa" /><Relationship Type="http://schemas.openxmlformats.org/officeDocument/2006/relationships/worksheet" Target="/xl/worksheets/sheet11.xml" Id="R65810933c2334ea2" /><Relationship Type="http://schemas.openxmlformats.org/officeDocument/2006/relationships/worksheet" Target="/xl/worksheets/sheet12.xml" Id="R1f75298481c94e7d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4121ff81d372403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Probability of ranking in Ahaan's top 40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Series 1</c:v>
          </c:tx>
          <c:cat>
            <c:strLit>
              <c:ptCount val="1"/>
              <c:pt idx="0">
                <c:v>Item 1</c:v>
              </c:pt>
            </c:strLit>
          </c:cat>
          <c:val>
            <c:numLit>
              <c:formatCode>General</c:formatCode>
              <c:ptCount val="1"/>
              <c:pt idx="0">
                <c:v>0</c:v>
              </c:pt>
            </c:numLit>
          </c:val>
        </c:ser>
        <c:ser>
          <c:idx val="1"/>
          <c:order val="1"/>
          <c:tx>
            <c:v>P(top 40)</c:v>
          </c:tx>
          <c:cat>
            <c:strRef>
              <c:f>'Dashboard'!$B$14:$B$33</c:f>
              <c:strCache>
                <c:ptCount val="1"/>
                <c:pt idx="0">
                  <c:v>Item 1</c:v>
                </c:pt>
              </c:strCache>
            </c:strRef>
          </c:cat>
          <c:val>
            <c:numRef>
              <c:f>'Dashboard'!$G$14:$G$33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13</xdr:col>
      <xdr:colOff>0</xdr:colOff>
      <xdr:row>12</xdr:row>
      <xdr:rowOff>0</xdr:rowOff>
    </xdr:from>
    <xdr:to>
      <xdr:col>22</xdr:col>
      <xdr:colOff>0</xdr:colOff>
      <xdr:row>33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4121ff81d3724036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AhaanProfileTable" displayName="AhaanProfileTable" ref="A4:C17" headerRowCount="1">
  <x:tableColumns count="3">
    <x:tableColumn id="1" name="Field"/>
    <x:tableColumn id="2" name="Current evidence"/>
    <x:tableColumn id="3" name="How it changes the model"/>
  </x:tableColumns>
  <x:tableStyleInfo name="TableStyleMedium2" showRowStripes="1"/>
</x:table>
</file>

<file path=xl/tables/table2.xml><?xml version="1.0" encoding="utf-8"?>
<x:table xmlns:x="http://schemas.openxmlformats.org/spreadsheetml/2006/main" id="2" name="CompanyRankingV6" displayName="CompanyRankingV6" ref="A4:AE161" headerRowCount="1">
  <x:tableColumns count="31">
    <x:tableColumn id="1" name="Rank"/>
    <x:tableColumn id="2" name="Company"/>
    <x:tableColumn id="3" name="Tier"/>
    <x:tableColumn id="4" name="Median rank"/>
    <x:tableColumn id="5" name="Rank 10th"/>
    <x:tableColumn id="6" name="Rank 90th"/>
    <x:tableColumn id="7" name="P(top 20)"/>
    <x:tableColumn id="8" name="P(top 40)"/>
    <x:tableColumn id="9" name="P(top 80)"/>
    <x:tableColumn id="10" name="Stability"/>
    <x:tableColumn id="11" name="Category"/>
    <x:tableColumn id="12" name="Target internship program"/>
    <x:tableColumn id="13" name="Role family"/>
    <x:tableColumn id="14" name="CPT score"/>
    <x:tableColumn id="15" name="CPT outlook"/>
    <x:tableColumn id="16" name="Ahaan fit"/>
    <x:tableColumn id="17" name="Résumé semantic fit"/>
    <x:tableColumn id="18" name="Opportunity / undergrad"/>
    <x:tableColumn id="19" name="Undergrad access"/>
    <x:tableColumn id="20" name="Preference"/>
    <x:tableColumn id="21" name="VT/network prior"/>
    <x:tableColumn id="22" name="GPA compatibility"/>
    <x:tableColumn id="23" name="Claude prior"/>
    <x:tableColumn id="24" name="Evidence grade"/>
    <x:tableColumn id="25" name="Evidence rows"/>
    <x:tableColumn id="26" name="Why Ahaan"/>
    <x:tableColumn id="27" name="Risks / gaps"/>
    <x:tableColumn id="28" name="Historical evidence"/>
    <x:tableColumn id="29" name="Evidence URLs"/>
    <x:tableColumn id="30" name="Typical opening"/>
    <x:tableColumn id="31" name="Career page"/>
  </x:tableColumns>
  <x:tableStyleInfo name="TableStyleMedium2" showRowStripes="1"/>
</x:table>
</file>

<file path=xl/tables/table3.xml><?xml version="1.0" encoding="utf-8"?>
<x:table xmlns:x="http://schemas.openxmlformats.org/spreadsheetml/2006/main" id="3" name="Top40V6" displayName="Top40V6" ref="A4:L44" headerRowCount="1">
  <x:tableColumns count="12">
    <x:tableColumn id="1" name="Rank"/>
    <x:tableColumn id="2" name="Company"/>
    <x:tableColumn id="3" name="Tier"/>
    <x:tableColumn id="4" name="Target program"/>
    <x:tableColumn id="5" name="CPT outlook"/>
    <x:tableColumn id="6" name="P(top 40)"/>
    <x:tableColumn id="7" name="Rank interval"/>
    <x:tableColumn id="8" name="Evidence grade"/>
    <x:tableColumn id="9" name="Why Ahaan"/>
    <x:tableColumn id="10" name="Main risk"/>
    <x:tableColumn id="11" name="Opening"/>
    <x:tableColumn id="12" name="Career page"/>
  </x:tableColumns>
  <x:tableStyleInfo name="TableStyleMedium2" showRowStripes="1"/>
</x:table>
</file>

<file path=xl/tables/table4.xml><?xml version="1.0" encoding="utf-8"?>
<x:table xmlns:x="http://schemas.openxmlformats.org/spreadsheetml/2006/main" id="4" name="FeatureEvidenceTable" displayName="FeatureEvidenceTable" ref="A4:P161" headerRowCount="1">
  <x:tableColumns count="16">
    <x:tableColumn id="1" name="Company"/>
    <x:tableColumn id="2" name="CPT"/>
    <x:tableColumn id="3" name="Ahaan fit"/>
    <x:tableColumn id="4" name="Semantic fit"/>
    <x:tableColumn id="5" name="Opportunity"/>
    <x:tableColumn id="6" name="Undergrad access"/>
    <x:tableColumn id="7" name="Preference"/>
    <x:tableColumn id="8" name="Network prior"/>
    <x:tableColumn id="9" name="GPA"/>
    <x:tableColumn id="10" name="Claude prior"/>
    <x:tableColumn id="11" name="Evidence rows"/>
    <x:tableColumn id="12" name="Evidence grade"/>
    <x:tableColumn id="13" name="Target program"/>
    <x:tableColumn id="14" name="Role family"/>
    <x:tableColumn id="15" name="Why Ahaan"/>
    <x:tableColumn id="16" name="Risks"/>
  </x:tableColumns>
  <x:tableStyleInfo name="TableStyleMedium2" showRowStripes="1"/>
</x:table>
</file>

<file path=xl/tables/table5.xml><?xml version="1.0" encoding="utf-8"?>
<x:table xmlns:x="http://schemas.openxmlformats.org/spreadsheetml/2006/main" id="5" name="HistoricalRoleEvidenceV6" displayName="HistoricalRoleEvidenceV6" ref="A4:H69" headerRowCount="1">
  <x:tableColumns count="8">
    <x:tableColumn id="1" name="Company"/>
    <x:tableColumn id="2" name="Year"/>
    <x:tableColumn id="3" name="Observed role"/>
    <x:tableColumn id="4" name="Education access"/>
    <x:tableColumn id="5" name="Relevance"/>
    <x:tableColumn id="6" name="Model use"/>
    <x:tableColumn id="7" name="Notes"/>
    <x:tableColumn id="8" name="Source URL"/>
  </x:tableColumns>
  <x:tableStyleInfo name="TableStyleMedium2" showRowStripes="1"/>
</x:table>
</file>

<file path=xl/tables/table6.xml><?xml version="1.0" encoding="utf-8"?>
<x:table xmlns:x="http://schemas.openxmlformats.org/spreadsheetml/2006/main" id="6" name="CurrentRolesV6" displayName="CurrentRolesV6" ref="A4:J8" headerRowCount="1">
  <x:tableColumns count="10">
    <x:tableColumn id="1" name="Company"/>
    <x:tableColumn id="2" name="Exact role"/>
    <x:tableColumn id="3" name="Status"/>
    <x:tableColumn id="4" name="Graduation / degree fit"/>
    <x:tableColumn id="5" name="Ahaan match"/>
    <x:tableColumn id="6" name="CPT / sponsorship evidence"/>
    <x:tableColumn id="7" name="GPA"/>
    <x:tableColumn id="8" name="Decision"/>
    <x:tableColumn id="9" name="Official URL"/>
    <x:tableColumn id="10" name="Model treatment"/>
  </x:tableColumns>
  <x:tableStyleInfo name="TableStyleMedium2" showRowStripes="1"/>
</x:table>
</file>

<file path=xl/tables/table7.xml><?xml version="1.0" encoding="utf-8"?>
<x:table xmlns:x="http://schemas.openxmlformats.org/spreadsheetml/2006/main" id="7" name="RoleLevelModelTable" displayName="RoleLevelModelTable" ref="A4:R104" headerRowCount="1">
  <x:tableColumns count="18">
    <x:tableColumn id="1" name="Role ID"/>
    <x:tableColumn id="2" name="Company"/>
    <x:tableColumn id="3" name="Exact role"/>
    <x:tableColumn id="4" name="Official URL"/>
    <x:tableColumn id="5" name="CPT block?"/>
    <x:tableColumn id="6" name="US role?"/>
    <x:tableColumn id="7" name="Undergraduate?"/>
    <x:tableColumn id="8" name="May 2028 window?"/>
    <x:tableColumn id="9" name="Role-family match"/>
    <x:tableColumn id="10" name="Résumé/JD match"/>
    <x:tableColumn id="11" name="Posted ≤7 days?"/>
    <x:tableColumn id="12" name="Network strength"/>
    <x:tableColumn id="13" name="Company P(top40)"/>
    <x:tableColumn id="14" name="Eligibility"/>
    <x:tableColumn id="15" name="Role priority score"/>
    <x:tableColumn id="16" name="Action"/>
    <x:tableColumn id="17" name="Credibility"/>
    <x:tableColumn id="18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LinkedInLayerTable" displayName="LinkedInLayerTable" ref="A4:D9" headerRowCount="1">
  <x:tableColumns count="4">
    <x:tableColumn id="1" name="Item"/>
    <x:tableColumn id="2" name="Current status"/>
    <x:tableColumn id="3" name="Model treatment"/>
    <x:tableColumn id="4" name="What the ZIP will add"/>
  </x:tableColumns>
  <x:tableStyleInfo name="TableStyleMedium2" showRowStripes="1"/>
</x:table>
</file>

<file path=xl/tables/table9.xml><?xml version="1.0" encoding="utf-8"?>
<x:table xmlns:x="http://schemas.openxmlformats.org/spreadsheetml/2006/main" id="9" name="MethodologyTable" displayName="MethodologyTable" ref="A4:C15" headerRowCount="1">
  <x:tableColumns count="3">
    <x:tableColumn id="1" name="Component"/>
    <x:tableColumn id="2" name="Implementation"/>
    <x:tableColumn id="3" name="Why it matters"/>
  </x:tableColumns>
  <x:tableStyleInfo name="TableStyleMedium2" showRowStripes="1"/>
</x:table>
</file>

<file path=xl/tables/table10.xml><?xml version="1.0" encoding="utf-8"?>
<x:table xmlns:x="http://schemas.openxmlformats.org/spreadsheetml/2006/main" id="10" name="SourcesV6Table" displayName="SourcesV6Table" ref="A4:C15" headerRowCount="1">
  <x:tableColumns count="3">
    <x:tableColumn id="1" name="Source"/>
    <x:tableColumn id="2" name="Location / URL"/>
    <x:tableColumn id="3" name="Use"/>
  </x:tableColumns>
  <x:tableStyleInfo name="TableStyleMedium2" showRowStripes="1"/>
</x:table>
</file>

<file path=xl/tables/table11.xml><?xml version="1.0" encoding="utf-8"?>
<x:table xmlns:x="http://schemas.openxmlformats.org/spreadsheetml/2006/main" id="11" name="SeparateOptionsTable" displayName="SeparateOptionsTable" ref="A4:D8" headerRowCount="1">
  <x:tableColumns count="4">
    <x:tableColumn id="1" name="Company / group"/>
    <x:tableColumn id="2" name="Status"/>
    <x:tableColumn id="3" name="Reason"/>
    <x:tableColumn id="4" name="Model treatment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7d95c1280084aab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3c14ff4b99aa45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2bb30fa823f42f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659a3269e60f49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53ef718d4dc84a1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7f6b435b55844e80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77b042ec8d1741f4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80f61ad30d4447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535112c4f9d845f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9.xml" Id="Ra9c08691ee2d4d5d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0.xml" Id="Reaba2c101b134401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1.xml" Id="R3cc6b224e0e144f8" /></Relationships>
</file>

<file path=xl/worksheets/sheet1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7" hidden="0" customWidth="1"/>
    <x:col min="4" max="4" width="13" hidden="0" customWidth="1"/>
    <x:col min="5" max="5" width="16" hidden="0" customWidth="1"/>
    <x:col min="6" max="6" width="13" hidden="0" customWidth="1"/>
    <x:col min="7" max="7" width="13" hidden="0" customWidth="1"/>
    <x:col min="8" max="8" width="12" hidden="0" customWidth="1"/>
    <x:col min="9" max="9" width="12" hidden="0" customWidth="1"/>
    <x:col min="10" max="10" width="13" hidden="0" customWidth="1"/>
    <x:col min="11" max="11" width="38" hidden="0" customWidth="1"/>
    <x:col min="12" max="12" width="64" hidden="0" customWidth="1"/>
  </x:cols>
  <x:sheetData>
    <x:row r="1" ht="34" customHeight="1">
      <x:c r="A1" s="4" t="str">
        <x:v>Ahaan 2027 Internship Ranking — Evidence-Driven V6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9" customHeight="1">
      <x:c r="A2" s="11" t="str">
        <x:v>Company search priority for Ahaan Anand | Built July 10, 2026 | Exact postings are scored separately.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s="19" t="str">
        <x:v>This is not a generic prestige list. It ranks where Ahaan should spend recruiting effort before a role opens. CPT/international feasibility and Ahaan-specific fit lead the model. Historical role evidence, undergraduate access, explicit industry preferences, VT/network signals, GPA compatibility and Claude's prior are then combined across 60,000 sensitivity simulations. Exact posting language always overrides the company rank.</x:v>
      </x:c>
      <x:c r="B4" s="19"/>
      <x:c r="C4" s="19"/>
      <x:c r="D4" s="19"/>
      <x:c r="E4" s="19"/>
      <x:c r="F4" s="19"/>
      <x:c r="G4" s="19"/>
      <x:c r="H4" s="19"/>
      <x:c r="I4" s="19"/>
      <x:c r="J4" s="19"/>
      <x:c r="K4" s="19"/>
      <x:c r="L4" s="19"/>
      <x:c r="M4" s="19"/>
      <x:c r="N4" s="19"/>
    </x:row>
    <x:row r="5">
      <x:c r="A5" s="19"/>
      <x:c r="B5" s="19"/>
      <x:c r="C5" s="19"/>
      <x:c r="D5" s="19"/>
      <x:c r="E5" s="19"/>
      <x:c r="F5" s="19"/>
      <x:c r="G5" s="19"/>
      <x:c r="H5" s="19"/>
      <x:c r="I5" s="19"/>
      <x:c r="J5" s="19"/>
      <x:c r="K5" s="19"/>
      <x:c r="L5" s="19"/>
      <x:c r="M5" s="19"/>
      <x:c r="N5" s="19"/>
    </x:row>
    <x:row r="6">
      <x:c r="A6" s="19"/>
      <x:c r="B6" s="19"/>
      <x:c r="C6" s="19"/>
      <x:c r="D6" s="19"/>
      <x:c r="E6" s="19"/>
      <x:c r="F6" s="19"/>
      <x:c r="G6" s="19"/>
      <x:c r="H6" s="19"/>
      <x:c r="I6" s="19"/>
      <x:c r="J6" s="19"/>
      <x:c r="K6" s="19"/>
      <x:c r="L6" s="19"/>
      <x:c r="M6" s="19"/>
      <x:c r="N6" s="19"/>
    </x:row>
    <x:row r="8">
      <x:c r="A8" s="27" t="str">
        <x:v>External companies</x:v>
      </x:c>
      <x:c r="B8" s="27"/>
      <x:c r="C8" s="27"/>
      <x:c r="D8" s="27" t="str">
        <x:v>Strong Targets</x:v>
      </x:c>
      <x:c r="E8" s="27"/>
      <x:c r="F8" s="27"/>
      <x:c r="G8" s="27" t="str">
        <x:v>Evidence companies</x:v>
      </x:c>
      <x:c r="H8" s="27"/>
      <x:c r="I8" s="27"/>
      <x:c r="J8" s="27" t="str">
        <x:v>Simulations</x:v>
      </x:c>
      <x:c r="K8" s="27"/>
      <x:c r="L8" s="27"/>
    </x:row>
    <x:row r="9">
      <x:c r="A9" s="45" t="n">
        <x:v>157</x:v>
      </x:c>
      <x:c r="B9" s="46"/>
      <x:c r="C9" s="47"/>
      <x:c r="D9" s="45" t="n">
        <x:v>13</x:v>
      </x:c>
      <x:c r="E9" s="46"/>
      <x:c r="F9" s="47"/>
      <x:c r="G9" s="45" t="n">
        <x:v>41</x:v>
      </x:c>
      <x:c r="H9" s="46"/>
      <x:c r="I9" s="47"/>
      <x:c r="J9" s="45" t="n">
        <x:v>60000</x:v>
      </x:c>
      <x:c r="K9" s="46"/>
      <x:c r="L9" s="47"/>
    </x:row>
    <x:row r="10">
      <x:c r="A10" s="48"/>
      <x:c r="B10" s="49"/>
      <x:c r="C10" s="50"/>
      <x:c r="D10" s="48"/>
      <x:c r="E10" s="49"/>
      <x:c r="F10" s="50"/>
      <x:c r="G10" s="48"/>
      <x:c r="H10" s="49"/>
      <x:c r="I10" s="50"/>
      <x:c r="J10" s="48"/>
      <x:c r="K10" s="49"/>
      <x:c r="L10" s="50"/>
    </x:row>
    <x:row r="12" ht="25" customHeight="1">
      <x:c r="A12" s="71" t="str">
        <x:v>Top 20 external targets</x:v>
      </x:c>
      <x:c r="B12" s="71"/>
      <x:c r="C12" s="71"/>
      <x:c r="D12" s="71"/>
      <x:c r="E12" s="71"/>
      <x:c r="F12" s="71"/>
      <x:c r="G12" s="71"/>
      <x:c r="H12" s="71"/>
      <x:c r="I12" s="71"/>
      <x:c r="J12" s="71"/>
      <x:c r="K12" s="71"/>
      <x:c r="L12" s="71"/>
      <x:c r="M12" s="71"/>
      <x:c r="N12" s="71"/>
    </x:row>
    <x:row r="13" ht="32" customHeight="1">
      <x:c r="A13" s="79" t="str">
        <x:v>Rank</x:v>
      </x:c>
      <x:c r="B13" s="79" t="str">
        <x:v>Company</x:v>
      </x:c>
      <x:c r="C13" s="79" t="str">
        <x:v>Tier</x:v>
      </x:c>
      <x:c r="D13" s="79" t="str">
        <x:v>Median rank</x:v>
      </x:c>
      <x:c r="E13" s="79" t="str">
        <x:v>10th–90th rank</x:v>
      </x:c>
      <x:c r="F13" s="79" t="str">
        <x:v>P(top 20)</x:v>
      </x:c>
      <x:c r="G13" s="79" t="str">
        <x:v>P(top 40)</x:v>
      </x:c>
      <x:c r="H13" s="79" t="str">
        <x:v>CPT</x:v>
      </x:c>
      <x:c r="I13" s="79" t="str">
        <x:v>Ahaan fit</x:v>
      </x:c>
      <x:c r="J13" s="79" t="str">
        <x:v>Opportunity</x:v>
      </x:c>
      <x:c r="K13" s="79" t="str">
        <x:v>Target program</x:v>
      </x:c>
      <x:c r="L13" s="79" t="str">
        <x:v>Why this fits Ahaan</x:v>
      </x:c>
    </x:row>
    <x:row r="14" ht="54" customHeight="1">
      <x:c r="A14" s="90" t="n">
        <x:v>1</x:v>
      </x:c>
      <x:c r="B14" s="90" t="str">
        <x:v>Amazon</x:v>
      </x:c>
      <x:c r="C14" s="90" t="str">
        <x:v>Strong Target</x:v>
      </x:c>
      <x:c r="D14" s="90" t="n">
        <x:v>13</x:v>
      </x:c>
      <x:c r="E14" s="90" t="str">
        <x:v>3–40</x:v>
      </x:c>
      <x:c r="F14" s="98" t="n">
        <x:v>0.6727833333333333</x:v>
      </x:c>
      <x:c r="G14" s="98" t="n">
        <x:v>0.90415</x:v>
      </x:c>
      <x:c r="H14" s="98" t="n">
        <x:v>0.9</x:v>
      </x:c>
      <x:c r="I14" s="98" t="n">
        <x:v>0.947228527793109</x:v>
      </x:c>
      <x:c r="J14" s="98" t="n">
        <x:v>0.5541363910247632</x:v>
      </x:c>
      <x:c r="K14" s="90" t="str">
        <x:v>Data Science Intern / Business Intelligence Engineer Intern</x:v>
      </x:c>
      <x:c r="L14" s="90" t="str">
        <x:v>SQL/Tableau dashboarding on 30M+ donor records and decision-support work are direct evidence.</x:v>
      </x:c>
    </x:row>
    <x:row r="15" ht="54" customHeight="1">
      <x:c r="A15" s="90" t="n">
        <x:v>2</x:v>
      </x:c>
      <x:c r="B15" s="90" t="str">
        <x:v>Charles River Associates</x:v>
      </x:c>
      <x:c r="C15" s="90" t="str">
        <x:v>Strong Target</x:v>
      </x:c>
      <x:c r="D15" s="90" t="n">
        <x:v>14</x:v>
      </x:c>
      <x:c r="E15" s="90" t="str">
        <x:v>2–50</x:v>
      </x:c>
      <x:c r="F15" s="98" t="n">
        <x:v>0.62735</x:v>
      </x:c>
      <x:c r="G15" s="98" t="n">
        <x:v>0.8448666666666667</x:v>
      </x:c>
      <x:c r="H15" s="98" t="n">
        <x:v>0.82</x:v>
      </x:c>
      <x:c r="I15" s="98" t="n">
        <x:v>0.9159999999999999</x:v>
      </x:c>
      <x:c r="J15" s="98" t="n">
        <x:v>0.7002979706226635</x:v>
      </x:c>
      <x:c r="K15" s="90" t="str">
        <x:v>Analyst Intern</x:v>
      </x:c>
      <x:c r="L15" s="90" t="str">
        <x:v>CMDA + Economics, two publications and the incoming economics replication project create unusually direct fit.</x:v>
      </x:c>
    </x:row>
    <x:row r="16" ht="54" customHeight="1">
      <x:c r="A16" s="90" t="n">
        <x:v>3</x:v>
      </x:c>
      <x:c r="B16" s="90" t="str">
        <x:v>Analysis Group</x:v>
      </x:c>
      <x:c r="C16" s="90" t="str">
        <x:v>Strong Target</x:v>
      </x:c>
      <x:c r="D16" s="90" t="n">
        <x:v>15</x:v>
      </x:c>
      <x:c r="E16" s="90" t="str">
        <x:v>2–55</x:v>
      </x:c>
      <x:c r="F16" s="98" t="n">
        <x:v>0.5955333333333334</x:v>
      </x:c>
      <x:c r="G16" s="98" t="n">
        <x:v>0.8199166666666666</x:v>
      </x:c>
      <x:c r="H16" s="98" t="n">
        <x:v>0.82</x:v>
      </x:c>
      <x:c r="I16" s="98" t="n">
        <x:v>0.9165258838169883</x:v>
      </x:c>
      <x:c r="J16" s="98" t="n">
        <x:v>0.671</x:v>
      </x:c>
      <x:c r="K16" s="90" t="str">
        <x:v>Analyst Intern</x:v>
      </x:c>
      <x:c r="L16" s="90" t="str">
        <x:v>CMDA + Economics, two publications and the incoming economics replication project create unusually direct fit.</x:v>
      </x:c>
    </x:row>
    <x:row r="17" ht="54" customHeight="1">
      <x:c r="A17" s="90" t="n">
        <x:v>4</x:v>
      </x:c>
      <x:c r="B17" s="90" t="str">
        <x:v>Cornerstone Research</x:v>
      </x:c>
      <x:c r="C17" s="90" t="str">
        <x:v>Strong Target</x:v>
      </x:c>
      <x:c r="D17" s="90" t="n">
        <x:v>15</x:v>
      </x:c>
      <x:c r="E17" s="90" t="str">
        <x:v>2–55</x:v>
      </x:c>
      <x:c r="F17" s="98" t="n">
        <x:v>0.5939833333333333</x:v>
      </x:c>
      <x:c r="G17" s="98" t="n">
        <x:v>0.8183666666666667</x:v>
      </x:c>
      <x:c r="H17" s="98" t="n">
        <x:v>0.82</x:v>
      </x:c>
      <x:c r="I17" s="98" t="n">
        <x:v>0.9165258838169883</x:v>
      </x:c>
      <x:c r="J17" s="98" t="n">
        <x:v>0.671</x:v>
      </x:c>
      <x:c r="K17" s="90" t="str">
        <x:v>Analyst Intern</x:v>
      </x:c>
      <x:c r="L17" s="90" t="str">
        <x:v>CMDA + Economics, two publications and the incoming economics replication project create unusually direct fit.</x:v>
      </x:c>
    </x:row>
    <x:row r="18" ht="54" customHeight="1">
      <x:c r="A18" s="90" t="n">
        <x:v>5</x:v>
      </x:c>
      <x:c r="B18" s="90" t="str">
        <x:v>Brattle Group</x:v>
      </x:c>
      <x:c r="C18" s="90" t="str">
        <x:v>Strong Target</x:v>
      </x:c>
      <x:c r="D18" s="90" t="n">
        <x:v>16</x:v>
      </x:c>
      <x:c r="E18" s="90" t="str">
        <x:v>2–55</x:v>
      </x:c>
      <x:c r="F18" s="98" t="n">
        <x:v>0.5833833333333334</x:v>
      </x:c>
      <x:c r="G18" s="98" t="n">
        <x:v>0.8125</x:v>
      </x:c>
      <x:c r="H18" s="98" t="n">
        <x:v>0.82</x:v>
      </x:c>
      <x:c r="I18" s="98" t="n">
        <x:v>0.9159999999999999</x:v>
      </x:c>
      <x:c r="J18" s="98" t="n">
        <x:v>0.671</x:v>
      </x:c>
      <x:c r="K18" s="90" t="str">
        <x:v>Research Analyst Intern</x:v>
      </x:c>
      <x:c r="L18" s="90" t="str">
        <x:v>CMDA + Economics, two publications and the incoming economics replication project create unusually direct fit.</x:v>
      </x:c>
    </x:row>
    <x:row r="19" ht="54" customHeight="1">
      <x:c r="A19" s="90" t="n">
        <x:v>6</x:v>
      </x:c>
      <x:c r="B19" s="90" t="str">
        <x:v>Bates White</x:v>
      </x:c>
      <x:c r="C19" s="90" t="str">
        <x:v>Strong Target</x:v>
      </x:c>
      <x:c r="D19" s="90" t="n">
        <x:v>16</x:v>
      </x:c>
      <x:c r="E19" s="90" t="str">
        <x:v>2–56</x:v>
      </x:c>
      <x:c r="F19" s="98" t="n">
        <x:v>0.58485</x:v>
      </x:c>
      <x:c r="G19" s="98" t="n">
        <x:v>0.8120166666666667</x:v>
      </x:c>
      <x:c r="H19" s="98" t="n">
        <x:v>0.82</x:v>
      </x:c>
      <x:c r="I19" s="98" t="n">
        <x:v>0.9159999999999999</x:v>
      </x:c>
      <x:c r="J19" s="98" t="n">
        <x:v>0.671</x:v>
      </x:c>
      <x:c r="K19" s="90" t="str">
        <x:v>Consultant Intern</x:v>
      </x:c>
      <x:c r="L19" s="90" t="str">
        <x:v>CMDA + Economics, two publications and the incoming economics replication project create unusually direct fit.</x:v>
      </x:c>
    </x:row>
    <x:row r="20" ht="54" customHeight="1">
      <x:c r="A20" s="90" t="n">
        <x:v>7</x:v>
      </x:c>
      <x:c r="B20" s="90" t="str">
        <x:v>Compass Lexecon</x:v>
      </x:c>
      <x:c r="C20" s="90" t="str">
        <x:v>Strong Target</x:v>
      </x:c>
      <x:c r="D20" s="90" t="n">
        <x:v>16</x:v>
      </x:c>
      <x:c r="E20" s="90" t="str">
        <x:v>2–56</x:v>
      </x:c>
      <x:c r="F20" s="98" t="n">
        <x:v>0.5853166666666667</x:v>
      </x:c>
      <x:c r="G20" s="98" t="n">
        <x:v>0.8119166666666666</x:v>
      </x:c>
      <x:c r="H20" s="98" t="n">
        <x:v>0.82</x:v>
      </x:c>
      <x:c r="I20" s="98" t="n">
        <x:v>0.9165258838169883</x:v>
      </x:c>
      <x:c r="J20" s="98" t="n">
        <x:v>0.671</x:v>
      </x:c>
      <x:c r="K20" s="90" t="str">
        <x:v>Analyst Intern</x:v>
      </x:c>
      <x:c r="L20" s="90" t="str">
        <x:v>CMDA + Economics, two publications and the incoming economics replication project create unusually direct fit.</x:v>
      </x:c>
    </x:row>
    <x:row r="21" ht="54" customHeight="1">
      <x:c r="A21" s="90" t="n">
        <x:v>8</x:v>
      </x:c>
      <x:c r="B21" s="90" t="str">
        <x:v>NERA Economic Consulting</x:v>
      </x:c>
      <x:c r="C21" s="90" t="str">
        <x:v>Strong Target</x:v>
      </x:c>
      <x:c r="D21" s="90" t="n">
        <x:v>16</x:v>
      </x:c>
      <x:c r="E21" s="90" t="str">
        <x:v>2–56</x:v>
      </x:c>
      <x:c r="F21" s="98" t="n">
        <x:v>0.5876833333333333</x:v>
      </x:c>
      <x:c r="G21" s="98" t="n">
        <x:v>0.8108</x:v>
      </x:c>
      <x:c r="H21" s="98" t="n">
        <x:v>0.82</x:v>
      </x:c>
      <x:c r="I21" s="98" t="n">
        <x:v>0.9159999999999999</x:v>
      </x:c>
      <x:c r="J21" s="98" t="n">
        <x:v>0.671</x:v>
      </x:c>
      <x:c r="K21" s="90" t="str">
        <x:v>Research Associate Intern</x:v>
      </x:c>
      <x:c r="L21" s="90" t="str">
        <x:v>CMDA + Economics, two publications and the incoming economics replication project create unusually direct fit.</x:v>
      </x:c>
    </x:row>
    <x:row r="22" ht="54" customHeight="1">
      <x:c r="A22" s="90" t="n">
        <x:v>9</x:v>
      </x:c>
      <x:c r="B22" s="90" t="str">
        <x:v>IBM</x:v>
      </x:c>
      <x:c r="C22" s="90" t="str">
        <x:v>Strong Target</x:v>
      </x:c>
      <x:c r="D22" s="90" t="n">
        <x:v>19</x:v>
      </x:c>
      <x:c r="E22" s="90" t="str">
        <x:v>4–53</x:v>
      </x:c>
      <x:c r="F22" s="98" t="n">
        <x:v>0.5308</x:v>
      </x:c>
      <x:c r="G22" s="98" t="n">
        <x:v>0.8125166666666667</x:v>
      </x:c>
      <x:c r="H22" s="98" t="n">
        <x:v>0.9</x:v>
      </x:c>
      <x:c r="I22" s="98" t="n">
        <x:v>0.8617173837394074</x:v>
      </x:c>
      <x:c r="J22" s="98" t="n">
        <x:v>0.5826314717538699</x:v>
      </x:c>
      <x:c r="K22" s="90" t="str">
        <x:v>Data Science Intern</x:v>
      </x:c>
      <x:c r="L22" s="90" t="str">
        <x:v>ALSAC data science, propensity modeling, DataRobot, Python/SQL and ML research form a clear progression.</x:v>
      </x:c>
    </x:row>
    <x:row r="23" ht="54" customHeight="1">
      <x:c r="A23" s="90" t="n">
        <x:v>10</x:v>
      </x:c>
      <x:c r="B23" s="90" t="str">
        <x:v>Nielsen / NielsenIQ</x:v>
      </x:c>
      <x:c r="C23" s="90" t="str">
        <x:v>Strong Target</x:v>
      </x:c>
      <x:c r="D23" s="90" t="n">
        <x:v>22</x:v>
      </x:c>
      <x:c r="E23" s="90" t="str">
        <x:v>4–65</x:v>
      </x:c>
      <x:c r="F23" s="98" t="n">
        <x:v>0.4776166666666667</x:v>
      </x:c>
      <x:c r="G23" s="98" t="n">
        <x:v>0.7377166666666667</x:v>
      </x:c>
      <x:c r="H23" s="98" t="n">
        <x:v>0.82</x:v>
      </x:c>
      <x:c r="I23" s="98" t="n">
        <x:v>0.8963550004041585</x:v>
      </x:c>
      <x:c r="J23" s="98" t="n">
        <x:v>0.588206815277534</x:v>
      </x:c>
      <x:c r="K23" s="90" t="str">
        <x:v>Data Science Intern</x:v>
      </x:c>
      <x:c r="L23" s="90" t="str">
        <x:v>ALSAC data science, propensity modeling, DataRobot, Python/SQL and ML research form a clear progression. Consumer insights and segmentation are especially aligned with his prior work.</x:v>
      </x:c>
    </x:row>
    <x:row r="24" ht="54" customHeight="1">
      <x:c r="A24" s="90" t="n">
        <x:v>11</x:v>
      </x:c>
      <x:c r="B24" s="90" t="str">
        <x:v>Salesforce</x:v>
      </x:c>
      <x:c r="C24" s="90" t="str">
        <x:v>Strong Target</x:v>
      </x:c>
      <x:c r="D24" s="90" t="n">
        <x:v>22</x:v>
      </x:c>
      <x:c r="E24" s="90" t="str">
        <x:v>4–65</x:v>
      </x:c>
      <x:c r="F24" s="98" t="n">
        <x:v>0.469</x:v>
      </x:c>
      <x:c r="G24" s="98" t="n">
        <x:v>0.7351166666666666</x:v>
      </x:c>
      <x:c r="H24" s="98" t="n">
        <x:v>0.82</x:v>
      </x:c>
      <x:c r="I24" s="98" t="n">
        <x:v>0.9215293418102584</x:v>
      </x:c>
      <x:c r="J24" s="98" t="n">
        <x:v>0.6646103548061917</x:v>
      </x:c>
      <x:c r="K24" s="90" t="str">
        <x:v>Futureforce Data Analytics Intern</x:v>
      </x:c>
      <x:c r="L24" s="90" t="str">
        <x:v>Three analytics internships plus SQL, Python, Tableau, forecasting and segmentation directly match the lane.</x:v>
      </x:c>
    </x:row>
    <x:row r="25" ht="54" customHeight="1">
      <x:c r="A25" s="90" t="n">
        <x:v>12</x:v>
      </x:c>
      <x:c r="B25" s="90" t="str">
        <x:v>DoorDash</x:v>
      </x:c>
      <x:c r="C25" s="90" t="str">
        <x:v>Strong Target</x:v>
      </x:c>
      <x:c r="D25" s="90" t="n">
        <x:v>22</x:v>
      </x:c>
      <x:c r="E25" s="90" t="str">
        <x:v>4–67</x:v>
      </x:c>
      <x:c r="F25" s="98" t="n">
        <x:v>0.4755333333333333</x:v>
      </x:c>
      <x:c r="G25" s="98" t="n">
        <x:v>0.7261666666666666</x:v>
      </x:c>
      <x:c r="H25" s="98" t="n">
        <x:v>0.82</x:v>
      </x:c>
      <x:c r="I25" s="98" t="n">
        <x:v>0.9517386486719563</x:v>
      </x:c>
      <x:c r="J25" s="98" t="n">
        <x:v>0.545</x:v>
      </x:c>
      <x:c r="K25" s="90" t="str">
        <x:v>Data Science / Analytics Intern</x:v>
      </x:c>
      <x:c r="L25" s="90" t="str">
        <x:v>ALSAC data science, propensity modeling, DataRobot, Python/SQL and ML research form a clear progression. Marketplace/customer behavior is a direct extension of his growth and consumer analytics work.</x:v>
      </x:c>
    </x:row>
    <x:row r="26" ht="54" customHeight="1">
      <x:c r="A26" s="90" t="n">
        <x:v>13</x:v>
      </x:c>
      <x:c r="B26" s="90" t="str">
        <x:v>Airbnb</x:v>
      </x:c>
      <x:c r="C26" s="90" t="str">
        <x:v>Strong Target</x:v>
      </x:c>
      <x:c r="D26" s="90" t="n">
        <x:v>23</x:v>
      </x:c>
      <x:c r="E26" s="90" t="str">
        <x:v>4–65</x:v>
      </x:c>
      <x:c r="F26" s="98" t="n">
        <x:v>0.4580666666666667</x:v>
      </x:c>
      <x:c r="G26" s="98" t="n">
        <x:v>0.7278333333333333</x:v>
      </x:c>
      <x:c r="H26" s="98" t="n">
        <x:v>0.82</x:v>
      </x:c>
      <x:c r="I26" s="98" t="n">
        <x:v>0.9265889448951525</x:v>
      </x:c>
      <x:c r="J26" s="98" t="n">
        <x:v>0.6620160994445603</x:v>
      </x:c>
      <x:c r="K26" s="90" t="str">
        <x:v>Data Science Intern</x:v>
      </x:c>
      <x:c r="L26" s="90" t="str">
        <x:v>ALSAC data science, propensity modeling, DataRobot, Python/SQL and ML research form a clear progression. Marketplace/customer behavior is a direct extension of his growth and consumer analytics work.</x:v>
      </x:c>
    </x:row>
    <x:row r="27" ht="54" customHeight="1">
      <x:c r="A27" s="90" t="n">
        <x:v>14</x:v>
      </x:c>
      <x:c r="B27" s="90" t="str">
        <x:v>Appian</x:v>
      </x:c>
      <x:c r="C27" s="90" t="str">
        <x:v>Target</x:v>
      </x:c>
      <x:c r="D27" s="90" t="n">
        <x:v>24</x:v>
      </x:c>
      <x:c r="E27" s="90" t="str">
        <x:v>2–83</x:v>
      </x:c>
      <x:c r="F27" s="98" t="n">
        <x:v>0.45621666666666666</x:v>
      </x:c>
      <x:c r="G27" s="98" t="n">
        <x:v>0.66535</x:v>
      </x:c>
      <x:c r="H27" s="98" t="n">
        <x:v>0.62</x:v>
      </x:c>
      <x:c r="I27" s="98" t="n">
        <x:v>1</x:v>
      </x:c>
      <x:c r="J27" s="98" t="n">
        <x:v>0.644</x:v>
      </x:c>
      <x:c r="K27" s="90" t="str">
        <x:v>Data/Solutions Intern</x:v>
      </x:c>
      <x:c r="L27" s="90" t="str">
        <x:v>Three analytics internships plus SQL, Python, Tableau, forecasting and segmentation directly match the lane. The Virginia/VT pipeline adds practical recruiting access.</x:v>
      </x:c>
    </x:row>
    <x:row r="28" ht="54" customHeight="1">
      <x:c r="A28" s="90" t="n">
        <x:v>15</x:v>
      </x:c>
      <x:c r="B28" s="90" t="str">
        <x:v>Cvent</x:v>
      </x:c>
      <x:c r="C28" s="90" t="str">
        <x:v>Target</x:v>
      </x:c>
      <x:c r="D28" s="90" t="n">
        <x:v>24</x:v>
      </x:c>
      <x:c r="E28" s="90" t="str">
        <x:v>2–83</x:v>
      </x:c>
      <x:c r="F28" s="98" t="n">
        <x:v>0.4547</x:v>
      </x:c>
      <x:c r="G28" s="98" t="n">
        <x:v>0.6636166666666666</x:v>
      </x:c>
      <x:c r="H28" s="98" t="n">
        <x:v>0.62</x:v>
      </x:c>
      <x:c r="I28" s="98" t="n">
        <x:v>1</x:v>
      </x:c>
      <x:c r="J28" s="98" t="n">
        <x:v>0.644</x:v>
      </x:c>
      <x:c r="K28" s="90" t="str">
        <x:v>Data Analytics Intern</x:v>
      </x:c>
      <x:c r="L28" s="90" t="str">
        <x:v>Three analytics internships plus SQL, Python, Tableau, forecasting and segmentation directly match the lane. The Virginia/VT pipeline adds practical recruiting access.</x:v>
      </x:c>
    </x:row>
    <x:row r="29" ht="54" customHeight="1">
      <x:c r="A29" s="90" t="n">
        <x:v>16</x:v>
      </x:c>
      <x:c r="B29" s="90" t="str">
        <x:v>Wayfair</x:v>
      </x:c>
      <x:c r="C29" s="90" t="str">
        <x:v>Target</x:v>
      </x:c>
      <x:c r="D29" s="90" t="n">
        <x:v>27</x:v>
      </x:c>
      <x:c r="E29" s="90" t="str">
        <x:v>5–75</x:v>
      </x:c>
      <x:c r="F29" s="98" t="n">
        <x:v>0.40273333333333333</x:v>
      </x:c>
      <x:c r="G29" s="98" t="n">
        <x:v>0.6624833333333333</x:v>
      </x:c>
      <x:c r="H29" s="98" t="n">
        <x:v>0.82</x:v>
      </x:c>
      <x:c r="I29" s="98" t="n">
        <x:v>0.9167079075710682</x:v>
      </x:c>
      <x:c r="J29" s="98" t="n">
        <x:v>0.545</x:v>
      </x:c>
      <x:c r="K29" s="90" t="str">
        <x:v>Data Science Intern</x:v>
      </x:c>
      <x:c r="L29" s="90" t="str">
        <x:v>ALSAC data science, propensity modeling, DataRobot, Python/SQL and ML research form a clear progression. Marketplace/customer behavior is a direct extension of his growth and consumer analytics work.</x:v>
      </x:c>
    </x:row>
    <x:row r="30" ht="54" customHeight="1">
      <x:c r="A30" s="90" t="n">
        <x:v>17</x:v>
      </x:c>
      <x:c r="B30" s="90" t="str">
        <x:v>Snowflake</x:v>
      </x:c>
      <x:c r="C30" s="90" t="str">
        <x:v>Target</x:v>
      </x:c>
      <x:c r="D30" s="90" t="n">
        <x:v>28</x:v>
      </x:c>
      <x:c r="E30" s="90" t="str">
        <x:v>6–73</x:v>
      </x:c>
      <x:c r="F30" s="98" t="n">
        <x:v>0.3811833333333333</x:v>
      </x:c>
      <x:c r="G30" s="98" t="n">
        <x:v>0.6602</x:v>
      </x:c>
      <x:c r="H30" s="98" t="n">
        <x:v>0.82</x:v>
      </x:c>
      <x:c r="I30" s="98" t="n">
        <x:v>0.846156844499341</x:v>
      </x:c>
      <x:c r="J30" s="98" t="n">
        <x:v>0.7407142857142858</x:v>
      </x:c>
      <x:c r="K30" s="90" t="str">
        <x:v>Data Science Intern</x:v>
      </x:c>
      <x:c r="L30" s="90" t="str">
        <x:v>ALSAC data science, propensity modeling, DataRobot, Python/SQL and ML research form a clear progression.</x:v>
      </x:c>
    </x:row>
    <x:row r="31" ht="54" customHeight="1">
      <x:c r="A31" s="90" t="n">
        <x:v>18</x:v>
      </x:c>
      <x:c r="B31" s="90" t="str">
        <x:v>eBay</x:v>
      </x:c>
      <x:c r="C31" s="90" t="str">
        <x:v>Target</x:v>
      </x:c>
      <x:c r="D31" s="90" t="n">
        <x:v>31</x:v>
      </x:c>
      <x:c r="E31" s="90" t="str">
        <x:v>6–78</x:v>
      </x:c>
      <x:c r="F31" s="98" t="n">
        <x:v>0.34828333333333333</x:v>
      </x:c>
      <x:c r="G31" s="98" t="n">
        <x:v>0.6198333333333333</x:v>
      </x:c>
      <x:c r="H31" s="98" t="n">
        <x:v>0.82</x:v>
      </x:c>
      <x:c r="I31" s="98" t="n">
        <x:v>0.9374191636354638</x:v>
      </x:c>
      <x:c r="J31" s="98" t="n">
        <x:v>0.5826314717538699</x:v>
      </x:c>
      <x:c r="K31" s="90" t="str">
        <x:v>Data Science Intern</x:v>
      </x:c>
      <x:c r="L31" s="90" t="str">
        <x:v>ALSAC data science, propensity modeling, DataRobot, Python/SQL and ML research form a clear progression. Marketplace/customer behavior is a direct extension of his growth and consumer analytics work.</x:v>
      </x:c>
    </x:row>
    <x:row r="32" ht="54" customHeight="1">
      <x:c r="A32" s="90" t="n">
        <x:v>19</x:v>
      </x:c>
      <x:c r="B32" s="90" t="str">
        <x:v>Mastercard</x:v>
      </x:c>
      <x:c r="C32" s="90" t="str">
        <x:v>Target</x:v>
      </x:c>
      <x:c r="D32" s="90" t="n">
        <x:v>31</x:v>
      </x:c>
      <x:c r="E32" s="90" t="str">
        <x:v>6–80</x:v>
      </x:c>
      <x:c r="F32" s="98" t="n">
        <x:v>0.3506166666666667</x:v>
      </x:c>
      <x:c r="G32" s="98" t="n">
        <x:v>0.6151</x:v>
      </x:c>
      <x:c r="H32" s="98" t="n">
        <x:v>0.82</x:v>
      </x:c>
      <x:c r="I32" s="98" t="n">
        <x:v>0.965798780644392</x:v>
      </x:c>
      <x:c r="J32" s="98" t="n">
        <x:v>0.545</x:v>
      </x:c>
      <x:c r="K32" s="90" t="str">
        <x:v>Data Science / Analytics Intern (Launch)</x:v>
      </x:c>
      <x:c r="L32" s="90" t="str">
        <x:v>ALSAC data science, propensity modeling, DataRobot, Python/SQL and ML research form a clear progression. Payments and consumer-spend analytics closely match his consumer-behavior and segmentation experience.</x:v>
      </x:c>
    </x:row>
    <x:row r="33" ht="54" customHeight="1">
      <x:c r="A33" s="91" t="n">
        <x:v>20</x:v>
      </x:c>
      <x:c r="B33" s="91" t="str">
        <x:v>American Express</x:v>
      </x:c>
      <x:c r="C33" s="91" t="str">
        <x:v>Target</x:v>
      </x:c>
      <x:c r="D33" s="91" t="n">
        <x:v>32</x:v>
      </x:c>
      <x:c r="E33" s="91" t="str">
        <x:v>7–81</x:v>
      </x:c>
      <x:c r="F33" s="99" t="n">
        <x:v>0.3334666666666667</x:v>
      </x:c>
      <x:c r="G33" s="99" t="n">
        <x:v>0.6003666666666667</x:v>
      </x:c>
      <x:c r="H33" s="99" t="n">
        <x:v>0.82</x:v>
      </x:c>
      <x:c r="I33" s="99" t="n">
        <x:v>0.9089653895831162</x:v>
      </x:c>
      <x:c r="J33" s="99" t="n">
        <x:v>0.6275363042723033</x:v>
      </x:c>
      <x:c r="K33" s="91" t="str">
        <x:v>Data Science Summer Intern</x:v>
      </x:c>
      <x:c r="L33" s="91" t="str">
        <x:v>ALSAC data science, propensity modeling, DataRobot, Python/SQL and ML research form a clear progression. Payments and consumer-spend analytics closely match his consumer-behavior and segmentation experience.</x:v>
      </x:c>
    </x:row>
    <x:row r="35">
      <x:c r="A35" s="105" t="str">
        <x:v>Interpretation: ranks close together are not meaningfully different when their intervals overlap. The rank interval is more important than a one-place difference. LinkedIn network evidence is currently neutral except for known VT/VA/ALSAC signals because the connector returned only Ahaan's public profile URL—not his 518 connections. When the Connections.csv arrives, network features will update without rebuilding the rest of the model.</x:v>
      </x:c>
      <x:c r="B35" s="105"/>
      <x:c r="C35" s="105"/>
      <x:c r="D35" s="105"/>
      <x:c r="E35" s="105"/>
      <x:c r="F35" s="105"/>
      <x:c r="G35" s="105"/>
      <x:c r="H35" s="105"/>
      <x:c r="I35" s="105"/>
      <x:c r="J35" s="105"/>
      <x:c r="K35" s="105"/>
      <x:c r="L35" s="105"/>
      <x:c r="M35" s="105"/>
      <x:c r="N35" s="105"/>
    </x:row>
    <x:row r="36">
      <x:c r="A36" s="105"/>
      <x:c r="B36" s="105"/>
      <x:c r="C36" s="105"/>
      <x:c r="D36" s="105"/>
      <x:c r="E36" s="105"/>
      <x:c r="F36" s="105"/>
      <x:c r="G36" s="105"/>
      <x:c r="H36" s="105"/>
      <x:c r="I36" s="105"/>
      <x:c r="J36" s="105"/>
      <x:c r="K36" s="105"/>
      <x:c r="L36" s="105"/>
      <x:c r="M36" s="105"/>
      <x:c r="N36" s="105"/>
    </x:row>
    <x:row r="37">
      <x:c r="A37" s="105"/>
      <x:c r="B37" s="105"/>
      <x:c r="C37" s="105"/>
      <x:c r="D37" s="105"/>
      <x:c r="E37" s="105"/>
      <x:c r="F37" s="105"/>
      <x:c r="G37" s="105"/>
      <x:c r="H37" s="105"/>
      <x:c r="I37" s="105"/>
      <x:c r="J37" s="105"/>
      <x:c r="K37" s="105"/>
      <x:c r="L37" s="105"/>
      <x:c r="M37" s="105"/>
      <x:c r="N37" s="105"/>
    </x:row>
    <x:row r="38">
      <x:c r="A38" s="105"/>
      <x:c r="B38" s="105"/>
      <x:c r="C38" s="105"/>
      <x:c r="D38" s="105"/>
      <x:c r="E38" s="105"/>
      <x:c r="F38" s="105"/>
      <x:c r="G38" s="105"/>
      <x:c r="H38" s="105"/>
      <x:c r="I38" s="105"/>
      <x:c r="J38" s="105"/>
      <x:c r="K38" s="105"/>
      <x:c r="L38" s="105"/>
      <x:c r="M38" s="105"/>
      <x:c r="N38" s="105"/>
    </x:row>
    <x:row r="39">
      <x:c r="A39" s="105"/>
      <x:c r="B39" s="105"/>
      <x:c r="C39" s="105"/>
      <x:c r="D39" s="105"/>
      <x:c r="E39" s="105"/>
      <x:c r="F39" s="105"/>
      <x:c r="G39" s="105"/>
      <x:c r="H39" s="105"/>
      <x:c r="I39" s="105"/>
      <x:c r="J39" s="105"/>
      <x:c r="K39" s="105"/>
      <x:c r="L39" s="105"/>
      <x:c r="M39" s="105"/>
      <x:c r="N39" s="105"/>
    </x:row>
  </x:sheetData>
  <x:mergeCells>
    <x:mergeCell ref="A1:N1"/>
    <x:mergeCell ref="A2:N2"/>
    <x:mergeCell ref="A4:N6"/>
    <x:mergeCell ref="A8:C8"/>
    <x:mergeCell ref="A9:C10"/>
    <x:mergeCell ref="D8:F8"/>
    <x:mergeCell ref="D9:F10"/>
    <x:mergeCell ref="G8:I8"/>
    <x:mergeCell ref="G9:I10"/>
    <x:mergeCell ref="J8:L8"/>
    <x:mergeCell ref="J9:L10"/>
    <x:mergeCell ref="A12:N12"/>
    <x:mergeCell ref="A35:N39"/>
  </x:mergeCells>
  <x:conditionalFormatting sqref="C14:C33">
    <x:cfRule type="expression" dxfId="0" priority="1">
      <x:formula>C14="Strong Target"</x:formula>
    </x:cfRule>
    <x:cfRule type="expression" dxfId="1" priority="2">
      <x:formula>C14="Target"</x:formula>
    </x:cfRule>
  </x:conditionalFormatting>
  <x:pageMargins left="0.7" right="0.7" top="0.75" bottom="0.75" header="0.3" footer="0.3"/>
  <x:drawing xmlns:r="http://schemas.openxmlformats.org/officeDocument/2006/relationships" r:id="Re7d95c1280084aab"/>
</x:worksheet>
</file>

<file path=xl/worksheets/sheet2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90" hidden="0" customWidth="1"/>
    <x:col min="3" max="3" width="85" hidden="0" customWidth="1"/>
  </x:cols>
  <x:sheetData>
    <x:row r="1" ht="34" customHeight="1">
      <x:c r="A1" s="4" t="str">
        <x:v>Permanent Candidate Profile</x:v>
      </x:c>
      <x:c r="B1" s="4"/>
      <x:c r="C1" s="4"/>
      <x:c r="D1" s="4"/>
      <x:c r="E1" s="4"/>
      <x:c r="F1" s="4"/>
    </x:row>
    <x:row r="2" ht="29" customHeight="1">
      <x:c r="A2" s="11" t="str">
        <x:v>Every model feature is grounded in this profile. Update it when Ahaan's résumé or authorization changes.</x:v>
      </x:c>
      <x:c r="B2" s="11"/>
      <x:c r="C2" s="11"/>
      <x:c r="D2" s="11"/>
      <x:c r="E2" s="11"/>
      <x:c r="F2" s="11"/>
    </x:row>
    <x:row r="4" ht="32" customHeight="1">
      <x:c r="A4" s="79" t="str">
        <x:v>Field</x:v>
      </x:c>
      <x:c r="B4" s="79" t="str">
        <x:v>Current evidence</x:v>
      </x:c>
      <x:c r="C4" s="79" t="str">
        <x:v>How it changes the model</x:v>
      </x:c>
    </x:row>
    <x:row r="5" ht="54" customHeight="1">
      <x:c r="A5" s="90" t="str">
        <x:v>Identity</x:v>
      </x:c>
      <x:c r="B5" s="90" t="str">
        <x:v>Ahaan Anand; F-1 international student at Virginia Tech; May 2028 graduation.</x:v>
      </x:c>
      <x:c r="C5" s="90" t="str">
        <x:v>U.S. Summer 2027 undergraduate roles only; CPT/work authorization checked first.</x:v>
      </x:c>
    </x:row>
    <x:row r="6" ht="54" customHeight="1">
      <x:c r="A6" s="90" t="str">
        <x:v>Education</x:v>
      </x:c>
      <x:c r="B6" s="90" t="str">
        <x:v>B.S. Computational Modeling &amp; Data Analytics + B.S. Economics.</x:v>
      </x:c>
      <x:c r="C6" s="90" t="str">
        <x:v>Strongest lanes: analytics, BI, product/consumer analytics, decision science, economic/analytics consulting.</x:v>
      </x:c>
    </x:row>
    <x:row r="7" ht="54" customHeight="1">
      <x:c r="A7" s="90" t="str">
        <x:v>GPA</x:v>
      </x:c>
      <x:c r="B7" s="90" t="str">
        <x:v>3.31 cumulative; approximately 3.7 sophomore average; Dean's List Fall 2025 and Spring 2026.</x:v>
      </x:c>
      <x:c r="C7" s="90" t="str">
        <x:v>Uses 3.31 for portals; upward trend mitigates but never replaces cumulative GPA.</x:v>
      </x:c>
    </x:row>
    <x:row r="8" ht="54" customHeight="1">
      <x:c r="A8" s="90" t="str">
        <x:v>ALSAC / St. Jude</x:v>
      </x:c>
      <x:c r="B8" s="90" t="str">
        <x:v>Data Science &amp; Insights Intern: SQL/Python on 30M+ donor records, Tableau, propensity models, DataRobot.</x:v>
      </x:c>
      <x:c r="C8" s="90" t="str">
        <x:v>Direct U.S. analytics progression and strong evidence for data, BI, customer and nonprofit/health analytics.</x:v>
      </x:c>
    </x:row>
    <x:row r="9" ht="54" customHeight="1">
      <x:c r="A9" s="90" t="str">
        <x:v>Mankind Pharma</x:v>
      </x:c>
      <x:c r="B9" s="90" t="str">
        <x:v>Consumer, competitor and social-sentiment analytics in Python/R; recommendations advanced to R&amp;D.</x:v>
      </x:c>
      <x:c r="C9" s="90" t="str">
        <x:v>Strong consumer, growth, marketing and payments/marketplace analytics signal.</x:v>
      </x:c>
    </x:row>
    <x:row r="10" ht="54" customHeight="1">
      <x:c r="A10" s="90" t="str">
        <x:v>Kajaria Ceramics</x:v>
      </x:c>
      <x:c r="B10" s="90" t="str">
        <x:v>Demand forecasting, segmentation and regional sales analytics in R/Python.</x:v>
      </x:c>
      <x:c r="C10" s="90" t="str">
        <x:v>Adds forecasting, pricing, customer segmentation and commercial decision evidence.</x:v>
      </x:c>
    </x:row>
    <x:row r="11" ht="54" customHeight="1">
      <x:c r="A11" s="90" t="str">
        <x:v>Research</x:v>
      </x:c>
      <x:c r="B11" s="90" t="str">
        <x:v>Economics replication project; ML/human-motion research; two publications.</x:v>
      </x:c>
      <x:c r="C11" s="90" t="str">
        <x:v>Unusually differentiating for economic consulting, experimentation, research and decision-science roles.</x:v>
      </x:c>
    </x:row>
    <x:row r="12" ht="54" customHeight="1">
      <x:c r="A12" s="90" t="str">
        <x:v>Leadership</x:v>
      </x:c>
      <x:c r="B12" s="90" t="str">
        <x:v>Incoming Well-Being Student Leader; selected 1 of ~90 from ~900; Sigma Tau Gamma.</x:v>
      </x:c>
      <x:c r="C12" s="90" t="str">
        <x:v>Improves client-facing consulting, communication and behavioral-screen evidence; fraternity mainly helps networking.</x:v>
      </x:c>
    </x:row>
    <x:row r="13" ht="54" customHeight="1">
      <x:c r="A13" s="90" t="str">
        <x:v>Skills</x:v>
      </x:c>
      <x:c r="B13" s="90" t="str">
        <x:v>Python, R, SQL, Java, Tableau, pandas, NumPy, Matplotlib, DataRobot, Excel.</x:v>
      </x:c>
      <x:c r="C13" s="90" t="str">
        <x:v>Direct skill overlap with analytics, BI, data science and quantitative consulting postings.</x:v>
      </x:c>
    </x:row>
    <x:row r="14" ht="54" customHeight="1">
      <x:c r="A14" s="90" t="str">
        <x:v>Preferred employers</x:v>
      </x:c>
      <x:c r="B14" s="90" t="str">
        <x:v>Modern technology, fintech/payments, data platforms, marketplaces, media, modern banking and consulting.</x:v>
      </x:c>
      <x:c r="C14" s="90" t="str">
        <x:v>Explicit preference criterion raises these companies.</x:v>
      </x:c>
    </x:row>
    <x:row r="15" ht="54" customHeight="1">
      <x:c r="A15" s="90" t="str">
        <x:v>Deprioritized</x:v>
      </x:c>
      <x:c r="B15" s="90" t="str">
        <x:v>Insurance, hospitality, industrial/manufacturing, quant trading and unrelated SWE/hardware.</x:v>
      </x:c>
      <x:c r="C15" s="90" t="str">
        <x:v>Companies remain visible if they were in the uploaded list, but receive a large preference penalty.</x:v>
      </x:c>
    </x:row>
    <x:row r="16" ht="54" customHeight="1">
      <x:c r="A16" s="90" t="str">
        <x:v>CPT rule</x:v>
      </x:c>
      <x:c r="B16" s="90" t="str">
        <x:v>Exact posting language is controlling. Explicit CPT/OPT/citizenship block = skip. Future-sponsorship question = verify/reduced priority.</x:v>
      </x:c>
      <x:c r="C16" s="90" t="str">
        <x:v>Hard gate at role level; company history is only a prior.</x:v>
      </x:c>
    </x:row>
    <x:row r="17" ht="54" customHeight="1">
      <x:c r="A17" s="91" t="str">
        <x:v>LinkedIn</x:v>
      </x:c>
      <x:c r="B17" s="91" t="str">
        <x:v>Public profile located at linkedin.com/in/ahaan-anand-714b63283. Connection graph not exposed by connector.</x:v>
      </x:c>
      <x:c r="C17" s="91" t="str">
        <x:v>Network remains neutral until LinkedIn ZIP/Connections.csv is uploaded.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c14ff4b99aa45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9" hidden="0" customWidth="1"/>
    <x:col min="3" max="3" width="17" hidden="0" customWidth="1"/>
    <x:col min="4" max="4" width="12" hidden="0" customWidth="1"/>
    <x:col min="5" max="5" width="11" hidden="0" customWidth="1"/>
    <x:col min="6" max="6" width="11" hidden="0" customWidth="1"/>
    <x:col min="7" max="7" width="12" hidden="0" customWidth="1"/>
    <x:col min="8" max="8" width="12" hidden="0" customWidth="1"/>
    <x:col min="9" max="9" width="12" hidden="0" customWidth="1"/>
    <x:col min="10" max="10" width="12" hidden="0" customWidth="1"/>
    <x:col min="11" max="11" width="22" hidden="0" customWidth="1"/>
    <x:col min="12" max="12" width="40" hidden="0" customWidth="1"/>
    <x:col min="13" max="13" width="25" hidden="0" customWidth="1"/>
    <x:col min="14" max="14" width="12" hidden="0" customWidth="1"/>
    <x:col min="15" max="15" width="42" hidden="0" customWidth="1"/>
    <x:col min="16" max="16" width="12" hidden="0" customWidth="1"/>
    <x:col min="17" max="17" width="15" hidden="0" customWidth="1"/>
    <x:col min="18" max="18" width="18" hidden="0" customWidth="1"/>
    <x:col min="19" max="19" width="16" hidden="0" customWidth="1"/>
    <x:col min="20" max="20" width="12" hidden="0" customWidth="1"/>
    <x:col min="21" max="21" width="15" hidden="0" customWidth="1"/>
    <x:col min="22" max="22" width="16" hidden="0" customWidth="1"/>
    <x:col min="23" max="23" width="12" hidden="0" customWidth="1"/>
    <x:col min="24" max="24" width="13" hidden="0" customWidth="1"/>
    <x:col min="25" max="25" width="12" hidden="0" customWidth="1"/>
    <x:col min="26" max="26" width="68" hidden="0" customWidth="1"/>
    <x:col min="27" max="27" width="54" hidden="0" customWidth="1"/>
    <x:col min="28" max="28" width="75" hidden="0" customWidth="1"/>
    <x:col min="29" max="29" width="75" hidden="0" customWidth="1"/>
    <x:col min="30" max="30" width="23" hidden="0" customWidth="1"/>
    <x:col min="31" max="31" width="62" hidden="0" customWidth="1"/>
  </x:cols>
  <x:sheetData>
    <x:row r="1" ht="34" customHeight="1">
      <x:c r="A1" s="4" t="str">
        <x:v>Personalized Company Ranking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  <x:c r="T1" s="4"/>
      <x:c r="U1" s="4"/>
      <x:c r="V1" s="4"/>
      <x:c r="W1" s="4"/>
      <x:c r="X1" s="4"/>
      <x:c r="Y1" s="4"/>
      <x:c r="Z1" s="4"/>
      <x:c r="AA1" s="4"/>
      <x:c r="AB1" s="4"/>
      <x:c r="AC1" s="4"/>
    </x:row>
    <x:row r="2" ht="29" customHeight="1">
      <x:c r="A2" s="11" t="str">
        <x:v>Search priority, not interview probability. Sort/filter by tier, CPT, role family, evidence grade or rank stability.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  <x:c r="T2" s="11"/>
      <x:c r="U2" s="11"/>
      <x:c r="V2" s="11"/>
      <x:c r="W2" s="11"/>
      <x:c r="X2" s="11"/>
      <x:c r="Y2" s="11"/>
      <x:c r="Z2" s="11"/>
      <x:c r="AA2" s="11"/>
      <x:c r="AB2" s="11"/>
      <x:c r="AC2" s="11"/>
    </x:row>
    <x:row r="4" ht="32" customHeight="1">
      <x:c r="A4" s="79" t="str">
        <x:v>Rank</x:v>
      </x:c>
      <x:c r="B4" s="79" t="str">
        <x:v>Company</x:v>
      </x:c>
      <x:c r="C4" s="79" t="str">
        <x:v>Tier</x:v>
      </x:c>
      <x:c r="D4" s="79" t="str">
        <x:v>Median rank</x:v>
      </x:c>
      <x:c r="E4" s="79" t="str">
        <x:v>Rank 10th</x:v>
      </x:c>
      <x:c r="F4" s="79" t="str">
        <x:v>Rank 90th</x:v>
      </x:c>
      <x:c r="G4" s="79" t="str">
        <x:v>P(top 20)</x:v>
      </x:c>
      <x:c r="H4" s="79" t="str">
        <x:v>P(top 40)</x:v>
      </x:c>
      <x:c r="I4" s="79" t="str">
        <x:v>P(top 80)</x:v>
      </x:c>
      <x:c r="J4" s="79" t="str">
        <x:v>Stability</x:v>
      </x:c>
      <x:c r="K4" s="79" t="str">
        <x:v>Category</x:v>
      </x:c>
      <x:c r="L4" s="79" t="str">
        <x:v>Target internship program</x:v>
      </x:c>
      <x:c r="M4" s="79" t="str">
        <x:v>Role family</x:v>
      </x:c>
      <x:c r="N4" s="79" t="str">
        <x:v>CPT score</x:v>
      </x:c>
      <x:c r="O4" s="79" t="str">
        <x:v>CPT outlook</x:v>
      </x:c>
      <x:c r="P4" s="79" t="str">
        <x:v>Ahaan fit</x:v>
      </x:c>
      <x:c r="Q4" s="79" t="str">
        <x:v>Résumé semantic fit</x:v>
      </x:c>
      <x:c r="R4" s="79" t="str">
        <x:v>Opportunity / undergrad</x:v>
      </x:c>
      <x:c r="S4" s="79" t="str">
        <x:v>Undergrad access</x:v>
      </x:c>
      <x:c r="T4" s="79" t="str">
        <x:v>Preference</x:v>
      </x:c>
      <x:c r="U4" s="79" t="str">
        <x:v>VT/network prior</x:v>
      </x:c>
      <x:c r="V4" s="79" t="str">
        <x:v>GPA compatibility</x:v>
      </x:c>
      <x:c r="W4" s="79" t="str">
        <x:v>Claude prior</x:v>
      </x:c>
      <x:c r="X4" s="79" t="str">
        <x:v>Evidence grade</x:v>
      </x:c>
      <x:c r="Y4" s="79" t="str">
        <x:v>Evidence rows</x:v>
      </x:c>
      <x:c r="Z4" s="79" t="str">
        <x:v>Why Ahaan</x:v>
      </x:c>
      <x:c r="AA4" s="79" t="str">
        <x:v>Risks / gaps</x:v>
      </x:c>
      <x:c r="AB4" s="79" t="str">
        <x:v>Historical evidence</x:v>
      </x:c>
      <x:c r="AC4" s="79" t="str">
        <x:v>Evidence URLs</x:v>
      </x:c>
      <x:c r="AD4" s="79" t="str">
        <x:v>Typical opening</x:v>
      </x:c>
      <x:c r="AE4" s="79" t="str">
        <x:v>Career page</x:v>
      </x:c>
    </x:row>
    <x:row r="5" ht="54" customHeight="1">
      <x:c r="A5" s="90" t="n">
        <x:v>1</x:v>
      </x:c>
      <x:c r="B5" s="90" t="str">
        <x:v>Amazon</x:v>
      </x:c>
      <x:c r="C5" s="90" t="str">
        <x:v>Strong Target</x:v>
      </x:c>
      <x:c r="D5" s="90" t="n">
        <x:v>13</x:v>
      </x:c>
      <x:c r="E5" s="90" t="n">
        <x:v>3</x:v>
      </x:c>
      <x:c r="F5" s="90" t="n">
        <x:v>40</x:v>
      </x:c>
      <x:c r="G5" s="98" t="n">
        <x:v>0.6727833333333333</x:v>
      </x:c>
      <x:c r="H5" s="98" t="n">
        <x:v>0.90415</x:v>
      </x:c>
      <x:c r="I5" s="98" t="n">
        <x:v>0.9949333333333333</x:v>
      </x:c>
      <x:c r="J5" s="90" t="str">
        <x:v>Medium</x:v>
      </x:c>
      <x:c r="K5" s="90" t="str">
        <x:v>Big Tech</x:v>
      </x:c>
      <x:c r="L5" s="90" t="str">
        <x:v>Data Science Intern / Business Intelligence Engineer Intern</x:v>
      </x:c>
      <x:c r="M5" s="90" t="str">
        <x:v>Business Intelligence</x:v>
      </x:c>
      <x:c r="N5" s="98" t="n">
        <x:v>0.9</x:v>
      </x:c>
      <x:c r="O5" s="90" t="str">
        <x:v>Strong historical/declared CPT evidence</x:v>
      </x:c>
      <x:c r="P5" s="98" t="n">
        <x:v>0.947228527793109</x:v>
      </x:c>
      <x:c r="Q5" s="98" t="n">
        <x:v>0.6948568519540601</x:v>
      </x:c>
      <x:c r="R5" s="98" t="n">
        <x:v>0.5541363910247632</x:v>
      </x:c>
      <x:c r="S5" s="98" t="n">
        <x:v>0.35</x:v>
      </x:c>
      <x:c r="T5" s="98" t="n">
        <x:v>0.92</x:v>
      </x:c>
      <x:c r="U5" s="98" t="n">
        <x:v>0.5</x:v>
      </x:c>
      <x:c r="V5" s="98" t="n">
        <x:v>0.76</x:v>
      </x:c>
      <x:c r="W5" s="98" t="n">
        <x:v>0.7962732919254659</x:v>
      </x:c>
      <x:c r="X5" s="90" t="str">
        <x:v>C</x:v>
      </x:c>
      <x:c r="Y5" s="90" t="n">
        <x:v>2</x:v>
      </x:c>
      <x:c r="Z5" s="90" t="str">
        <x:v>SQL/Tableau dashboarding on 30M+ donor records and decision-support work are direct evidence.</x:v>
      </x:c>
      <x:c r="AA5" s="90" t="str">
        <x:v>Exact posting still controls CPT eligibility; LinkedIn network evidence pending</x:v>
      </x:c>
      <x:c r="AB5" s="90" t="str">
        <x:v>2026: Applied Scientist Intern / Co-op (advanced_unknown, adjacent) | 2027: Operations Finance Rotational Program Intern (undergrad, off_target)</x:v>
      </x:c>
      <x:c r="AC5" s="90" t="str">
        <x:v>https://raw.githubusercontent.com/SimplifyJobs/Summer2026-Internships/refs/heads/dev/README-Inactive.md | https://raw.githubusercontent.com/sndsh404/summer-2027-internships/main/README.md</x:v>
      </x:c>
      <x:c r="AD5" s="90" t="str">
        <x:v>Opens late Jul-Aug 2026 - FIRST big tech to post. Set alert TODAY.</x:v>
      </x:c>
      <x:c r="AE5" s="90" t="str">
        <x:v>https://amazon.jobs/en/teams/internships-for-students</x:v>
      </x:c>
    </x:row>
    <x:row r="6" ht="54" customHeight="1">
      <x:c r="A6" s="90" t="n">
        <x:v>2</x:v>
      </x:c>
      <x:c r="B6" s="90" t="str">
        <x:v>Charles River Associates</x:v>
      </x:c>
      <x:c r="C6" s="90" t="str">
        <x:v>Strong Target</x:v>
      </x:c>
      <x:c r="D6" s="90" t="n">
        <x:v>14</x:v>
      </x:c>
      <x:c r="E6" s="90" t="n">
        <x:v>2</x:v>
      </x:c>
      <x:c r="F6" s="90" t="n">
        <x:v>50</x:v>
      </x:c>
      <x:c r="G6" s="98" t="n">
        <x:v>0.62735</x:v>
      </x:c>
      <x:c r="H6" s="98" t="n">
        <x:v>0.8448666666666667</x:v>
      </x:c>
      <x:c r="I6" s="98" t="n">
        <x:v>0.9794666666666667</x:v>
      </x:c>
      <x:c r="J6" s="90" t="str">
        <x:v>Medium</x:v>
      </x:c>
      <x:c r="K6" s="90" t="str">
        <x:v>Econ Consulting</x:v>
      </x:c>
      <x:c r="L6" s="90" t="str">
        <x:v>Analyst Intern</x:v>
      </x:c>
      <x:c r="M6" s="90" t="str">
        <x:v>Economic Consulting</x:v>
      </x:c>
      <x:c r="N6" s="98" t="n">
        <x:v>0.82</x:v>
      </x:c>
      <x:c r="O6" s="90" t="str">
        <x:v>Likely workable; verify exact posting</x:v>
      </x:c>
      <x:c r="P6" s="98" t="n">
        <x:v>0.9159999999999999</x:v>
      </x:c>
      <x:c r="Q6" s="98" t="n">
        <x:v>0</x:v>
      </x:c>
      <x:c r="R6" s="98" t="n">
        <x:v>0.7002979706226635</x:v>
      </x:c>
      <x:c r="S6" s="98" t="n">
        <x:v>0.9</x:v>
      </x:c>
      <x:c r="T6" s="98" t="n">
        <x:v>0.92</x:v>
      </x:c>
      <x:c r="U6" s="98" t="n">
        <x:v>0.5</x:v>
      </x:c>
      <x:c r="V6" s="98" t="n">
        <x:v>0.64</x:v>
      </x:c>
      <x:c r="W6" s="98" t="n">
        <x:v>0.9751552795031057</x:v>
      </x:c>
      <x:c r="X6" s="90" t="str">
        <x:v>C</x:v>
      </x:c>
      <x:c r="Y6" s="90" t="n">
        <x:v>1</x:v>
      </x:c>
      <x:c r="Z6" s="90" t="str">
        <x:v>CMDA + Economics, two publications and the incoming economics replication project create unusually direct fit.</x:v>
      </x:c>
      <x:c r="AA6" s="90" t="str">
        <x:v>Exact posting still controls CPT eligibility; 3.31 GPA may sit below a preferred threshold; LinkedIn network evidence pending</x:v>
      </x:c>
      <x:c r="AB6" s="90" t="str">
        <x:v>2025: Data Analytics Consulting Analyst/Associate Intern (undergrad_or_master, exact)</x:v>
      </x:c>
      <x:c r="AC6" s="90" t="str">
        <x:v>https://raw.githubusercontent.com/SimplifyJobs/Summer2026-Internships/refs/heads/dev/archived/README-2025.md</x:v>
      </x:c>
      <x:c r="AD6" s="90" t="str">
        <x:v>Sep-Nov 2026</x:v>
      </x:c>
      <x:c r="AE6" s="90" t="str">
        <x:v>https://careers.crai.com/students</x:v>
      </x:c>
    </x:row>
    <x:row r="7" ht="54" customHeight="1">
      <x:c r="A7" s="90" t="n">
        <x:v>3</x:v>
      </x:c>
      <x:c r="B7" s="90" t="str">
        <x:v>Analysis Group</x:v>
      </x:c>
      <x:c r="C7" s="90" t="str">
        <x:v>Strong Target</x:v>
      </x:c>
      <x:c r="D7" s="90" t="n">
        <x:v>15</x:v>
      </x:c>
      <x:c r="E7" s="90" t="n">
        <x:v>2</x:v>
      </x:c>
      <x:c r="F7" s="90" t="n">
        <x:v>55</x:v>
      </x:c>
      <x:c r="G7" s="98" t="n">
        <x:v>0.5955333333333334</x:v>
      </x:c>
      <x:c r="H7" s="98" t="n">
        <x:v>0.8199166666666666</x:v>
      </x:c>
      <x:c r="I7" s="98" t="n">
        <x:v>0.97185</x:v>
      </x:c>
      <x:c r="J7" s="90" t="str">
        <x:v>Medium</x:v>
      </x:c>
      <x:c r="K7" s="90" t="str">
        <x:v>Econ Consulting</x:v>
      </x:c>
      <x:c r="L7" s="90" t="str">
        <x:v>Analyst Intern</x:v>
      </x:c>
      <x:c r="M7" s="90" t="str">
        <x:v>Economic Consulting</x:v>
      </x:c>
      <x:c r="N7" s="98" t="n">
        <x:v>0.82</x:v>
      </x:c>
      <x:c r="O7" s="90" t="str">
        <x:v>Likely workable; verify exact posting</x:v>
      </x:c>
      <x:c r="P7" s="98" t="n">
        <x:v>0.9165258838169883</x:v>
      </x:c>
      <x:c r="Q7" s="98" t="n">
        <x:v>0.0035058921132557785</x:v>
      </x:c>
      <x:c r="R7" s="98" t="n">
        <x:v>0.671</x:v>
      </x:c>
      <x:c r="S7" s="98" t="n">
        <x:v>0.5</x:v>
      </x:c>
      <x:c r="T7" s="98" t="n">
        <x:v>0.92</x:v>
      </x:c>
      <x:c r="U7" s="98" t="n">
        <x:v>0.5</x:v>
      </x:c>
      <x:c r="V7" s="98" t="n">
        <x:v>0.64</x:v>
      </x:c>
      <x:c r="W7" s="98" t="n">
        <x:v>0.9850931677018634</x:v>
      </x:c>
      <x:c r="X7" s="90" t="str">
        <x:v>D</x:v>
      </x:c>
      <x:c r="Y7" s="90" t="n">
        <x:v>0</x:v>
      </x:c>
      <x:c r="Z7" s="90" t="str">
        <x:v>CMDA + Economics, two publications and the incoming economics replication project create unusually direct fit.</x:v>
      </x:c>
      <x:c r="AA7" s="90" t="str">
        <x:v>Exact posting still controls CPT eligibility; 3.31 GPA may sit below a preferred threshold; No matching public role found in reviewed trackers; LinkedIn network evidence pending</x:v>
      </x:c>
      <x:c r="AB7" s="90" t="str">
        <x:v>No matching role found in reviewed public trackers; treated as missing evidence, not a negative.</x:v>
      </x:c>
      <x:c r="AC7" s="90" t="str"/>
      <x:c r="AD7" s="90" t="str">
        <x:v>Sep-Nov 2026</x:v>
      </x:c>
      <x:c r="AE7" s="90" t="str">
        <x:v>https://www.analysisgroup.com/careers/</x:v>
      </x:c>
    </x:row>
    <x:row r="8" ht="54" customHeight="1">
      <x:c r="A8" s="90" t="n">
        <x:v>4</x:v>
      </x:c>
      <x:c r="B8" s="90" t="str">
        <x:v>Cornerstone Research</x:v>
      </x:c>
      <x:c r="C8" s="90" t="str">
        <x:v>Strong Target</x:v>
      </x:c>
      <x:c r="D8" s="90" t="n">
        <x:v>15</x:v>
      </x:c>
      <x:c r="E8" s="90" t="n">
        <x:v>2</x:v>
      </x:c>
      <x:c r="F8" s="90" t="n">
        <x:v>55</x:v>
      </x:c>
      <x:c r="G8" s="98" t="n">
        <x:v>0.5939833333333333</x:v>
      </x:c>
      <x:c r="H8" s="98" t="n">
        <x:v>0.8183666666666667</x:v>
      </x:c>
      <x:c r="I8" s="98" t="n">
        <x:v>0.9715333333333334</x:v>
      </x:c>
      <x:c r="J8" s="90" t="str">
        <x:v>Medium</x:v>
      </x:c>
      <x:c r="K8" s="90" t="str">
        <x:v>Econ Consulting</x:v>
      </x:c>
      <x:c r="L8" s="90" t="str">
        <x:v>Analyst Intern</x:v>
      </x:c>
      <x:c r="M8" s="90" t="str">
        <x:v>Economic Consulting</x:v>
      </x:c>
      <x:c r="N8" s="98" t="n">
        <x:v>0.82</x:v>
      </x:c>
      <x:c r="O8" s="90" t="str">
        <x:v>Likely workable; verify exact posting</x:v>
      </x:c>
      <x:c r="P8" s="98" t="n">
        <x:v>0.9165258838169883</x:v>
      </x:c>
      <x:c r="Q8" s="98" t="n">
        <x:v>0.0035058921132557785</x:v>
      </x:c>
      <x:c r="R8" s="98" t="n">
        <x:v>0.671</x:v>
      </x:c>
      <x:c r="S8" s="98" t="n">
        <x:v>0.5</x:v>
      </x:c>
      <x:c r="T8" s="98" t="n">
        <x:v>0.92</x:v>
      </x:c>
      <x:c r="U8" s="98" t="n">
        <x:v>0.5</x:v>
      </x:c>
      <x:c r="V8" s="98" t="n">
        <x:v>0.64</x:v>
      </x:c>
      <x:c r="W8" s="98" t="n">
        <x:v>0.9801242236024844</x:v>
      </x:c>
      <x:c r="X8" s="90" t="str">
        <x:v>D</x:v>
      </x:c>
      <x:c r="Y8" s="90" t="n">
        <x:v>0</x:v>
      </x:c>
      <x:c r="Z8" s="90" t="str">
        <x:v>CMDA + Economics, two publications and the incoming economics replication project create unusually direct fit.</x:v>
      </x:c>
      <x:c r="AA8" s="90" t="str">
        <x:v>Exact posting still controls CPT eligibility; 3.31 GPA may sit below a preferred threshold; No matching public role found in reviewed trackers; LinkedIn network evidence pending</x:v>
      </x:c>
      <x:c r="AB8" s="90" t="str">
        <x:v>No matching role found in reviewed public trackers; treated as missing evidence, not a negative.</x:v>
      </x:c>
      <x:c r="AC8" s="90" t="str"/>
      <x:c r="AD8" s="90" t="str">
        <x:v>Sep-Nov 2026</x:v>
      </x:c>
      <x:c r="AE8" s="90" t="str">
        <x:v>https://www.cornerstone.com/careers/</x:v>
      </x:c>
    </x:row>
    <x:row r="9" ht="54" customHeight="1">
      <x:c r="A9" s="90" t="n">
        <x:v>5</x:v>
      </x:c>
      <x:c r="B9" s="90" t="str">
        <x:v>Brattle Group</x:v>
      </x:c>
      <x:c r="C9" s="90" t="str">
        <x:v>Strong Target</x:v>
      </x:c>
      <x:c r="D9" s="90" t="n">
        <x:v>16</x:v>
      </x:c>
      <x:c r="E9" s="90" t="n">
        <x:v>2</x:v>
      </x:c>
      <x:c r="F9" s="90" t="n">
        <x:v>55</x:v>
      </x:c>
      <x:c r="G9" s="98" t="n">
        <x:v>0.5833833333333334</x:v>
      </x:c>
      <x:c r="H9" s="98" t="n">
        <x:v>0.8125</x:v>
      </x:c>
      <x:c r="I9" s="98" t="n">
        <x:v>0.9695166666666667</x:v>
      </x:c>
      <x:c r="J9" s="90" t="str">
        <x:v>Medium</x:v>
      </x:c>
      <x:c r="K9" s="90" t="str">
        <x:v>Econ Consulting</x:v>
      </x:c>
      <x:c r="L9" s="90" t="str">
        <x:v>Research Analyst Intern</x:v>
      </x:c>
      <x:c r="M9" s="90" t="str">
        <x:v>Economic Consulting</x:v>
      </x:c>
      <x:c r="N9" s="98" t="n">
        <x:v>0.82</x:v>
      </x:c>
      <x:c r="O9" s="90" t="str">
        <x:v>Likely workable; verify exact posting</x:v>
      </x:c>
      <x:c r="P9" s="98" t="n">
        <x:v>0.9159999999999999</x:v>
      </x:c>
      <x:c r="Q9" s="98" t="n">
        <x:v>0</x:v>
      </x:c>
      <x:c r="R9" s="98" t="n">
        <x:v>0.671</x:v>
      </x:c>
      <x:c r="S9" s="98" t="n">
        <x:v>0.5</x:v>
      </x:c>
      <x:c r="T9" s="98" t="n">
        <x:v>0.92</x:v>
      </x:c>
      <x:c r="U9" s="98" t="n">
        <x:v>0.5</x:v>
      </x:c>
      <x:c r="V9" s="98" t="n">
        <x:v>0.64</x:v>
      </x:c>
      <x:c r="W9" s="98" t="n">
        <x:v>0.9652173913043478</x:v>
      </x:c>
      <x:c r="X9" s="90" t="str">
        <x:v>D</x:v>
      </x:c>
      <x:c r="Y9" s="90" t="n">
        <x:v>0</x:v>
      </x:c>
      <x:c r="Z9" s="90" t="str">
        <x:v>CMDA + Economics, two publications and the incoming economics replication project create unusually direct fit.</x:v>
      </x:c>
      <x:c r="AA9" s="90" t="str">
        <x:v>Exact posting still controls CPT eligibility; 3.31 GPA may sit below a preferred threshold; No matching public role found in reviewed trackers; LinkedIn network evidence pending</x:v>
      </x:c>
      <x:c r="AB9" s="90" t="str">
        <x:v>No matching role found in reviewed public trackers; treated as missing evidence, not a negative.</x:v>
      </x:c>
      <x:c r="AC9" s="90" t="str"/>
      <x:c r="AD9" s="90" t="str">
        <x:v>Sep-Nov 2026</x:v>
      </x:c>
      <x:c r="AE9" s="90" t="str">
        <x:v>https://www.brattle.com/careers/</x:v>
      </x:c>
    </x:row>
    <x:row r="10" ht="54" customHeight="1">
      <x:c r="A10" s="90" t="n">
        <x:v>6</x:v>
      </x:c>
      <x:c r="B10" s="90" t="str">
        <x:v>Bates White</x:v>
      </x:c>
      <x:c r="C10" s="90" t="str">
        <x:v>Strong Target</x:v>
      </x:c>
      <x:c r="D10" s="90" t="n">
        <x:v>16</x:v>
      </x:c>
      <x:c r="E10" s="90" t="n">
        <x:v>2</x:v>
      </x:c>
      <x:c r="F10" s="90" t="n">
        <x:v>56</x:v>
      </x:c>
      <x:c r="G10" s="98" t="n">
        <x:v>0.58485</x:v>
      </x:c>
      <x:c r="H10" s="98" t="n">
        <x:v>0.8120166666666667</x:v>
      </x:c>
      <x:c r="I10" s="98" t="n">
        <x:v>0.9690666666666666</x:v>
      </x:c>
      <x:c r="J10" s="90" t="str">
        <x:v>Medium</x:v>
      </x:c>
      <x:c r="K10" s="90" t="str">
        <x:v>Econ Consulting</x:v>
      </x:c>
      <x:c r="L10" s="90" t="str">
        <x:v>Consultant Intern</x:v>
      </x:c>
      <x:c r="M10" s="90" t="str">
        <x:v>Economic Consulting</x:v>
      </x:c>
      <x:c r="N10" s="98" t="n">
        <x:v>0.82</x:v>
      </x:c>
      <x:c r="O10" s="90" t="str">
        <x:v>Likely workable; verify exact posting</x:v>
      </x:c>
      <x:c r="P10" s="98" t="n">
        <x:v>0.9159999999999999</x:v>
      </x:c>
      <x:c r="Q10" s="98" t="n">
        <x:v>0</x:v>
      </x:c>
      <x:c r="R10" s="98" t="n">
        <x:v>0.671</x:v>
      </x:c>
      <x:c r="S10" s="98" t="n">
        <x:v>0.5</x:v>
      </x:c>
      <x:c r="T10" s="98" t="n">
        <x:v>0.92</x:v>
      </x:c>
      <x:c r="U10" s="98" t="n">
        <x:v>0.5</x:v>
      </x:c>
      <x:c r="V10" s="98" t="n">
        <x:v>0.64</x:v>
      </x:c>
      <x:c r="W10" s="98" t="n">
        <x:v>0.9552795031055901</x:v>
      </x:c>
      <x:c r="X10" s="90" t="str">
        <x:v>D</x:v>
      </x:c>
      <x:c r="Y10" s="90" t="n">
        <x:v>0</x:v>
      </x:c>
      <x:c r="Z10" s="90" t="str">
        <x:v>CMDA + Economics, two publications and the incoming economics replication project create unusually direct fit.</x:v>
      </x:c>
      <x:c r="AA10" s="90" t="str">
        <x:v>Exact posting still controls CPT eligibility; 3.31 GPA may sit below a preferred threshold; No matching public role found in reviewed trackers; LinkedIn network evidence pending</x:v>
      </x:c>
      <x:c r="AB10" s="90" t="str">
        <x:v>No matching role found in reviewed public trackers; treated as missing evidence, not a negative.</x:v>
      </x:c>
      <x:c r="AC10" s="90" t="str"/>
      <x:c r="AD10" s="90" t="str">
        <x:v>Sep-Nov 2026</x:v>
      </x:c>
      <x:c r="AE10" s="90" t="str">
        <x:v>https://www.bateswhite.com/careers.html</x:v>
      </x:c>
    </x:row>
    <x:row r="11" ht="54" customHeight="1">
      <x:c r="A11" s="90" t="n">
        <x:v>7</x:v>
      </x:c>
      <x:c r="B11" s="90" t="str">
        <x:v>Compass Lexecon</x:v>
      </x:c>
      <x:c r="C11" s="90" t="str">
        <x:v>Strong Target</x:v>
      </x:c>
      <x:c r="D11" s="90" t="n">
        <x:v>16</x:v>
      </x:c>
      <x:c r="E11" s="90" t="n">
        <x:v>2</x:v>
      </x:c>
      <x:c r="F11" s="90" t="n">
        <x:v>56</x:v>
      </x:c>
      <x:c r="G11" s="98" t="n">
        <x:v>0.5853166666666667</x:v>
      </x:c>
      <x:c r="H11" s="98" t="n">
        <x:v>0.8119166666666666</x:v>
      </x:c>
      <x:c r="I11" s="98" t="n">
        <x:v>0.97005</x:v>
      </x:c>
      <x:c r="J11" s="90" t="str">
        <x:v>Medium</x:v>
      </x:c>
      <x:c r="K11" s="90" t="str">
        <x:v>Econ Consulting</x:v>
      </x:c>
      <x:c r="L11" s="90" t="str">
        <x:v>Analyst Intern</x:v>
      </x:c>
      <x:c r="M11" s="90" t="str">
        <x:v>Economic Consulting</x:v>
      </x:c>
      <x:c r="N11" s="98" t="n">
        <x:v>0.82</x:v>
      </x:c>
      <x:c r="O11" s="90" t="str">
        <x:v>Likely workable; verify exact posting</x:v>
      </x:c>
      <x:c r="P11" s="98" t="n">
        <x:v>0.9165258838169883</x:v>
      </x:c>
      <x:c r="Q11" s="98" t="n">
        <x:v>0.0035058921132557785</x:v>
      </x:c>
      <x:c r="R11" s="98" t="n">
        <x:v>0.671</x:v>
      </x:c>
      <x:c r="S11" s="98" t="n">
        <x:v>0.5</x:v>
      </x:c>
      <x:c r="T11" s="98" t="n">
        <x:v>0.92</x:v>
      </x:c>
      <x:c r="U11" s="98" t="n">
        <x:v>0.5</x:v>
      </x:c>
      <x:c r="V11" s="98" t="n">
        <x:v>0.64</x:v>
      </x:c>
      <x:c r="W11" s="98" t="n">
        <x:v>0.9602484472049688</x:v>
      </x:c>
      <x:c r="X11" s="90" t="str">
        <x:v>D</x:v>
      </x:c>
      <x:c r="Y11" s="90" t="n">
        <x:v>0</x:v>
      </x:c>
      <x:c r="Z11" s="90" t="str">
        <x:v>CMDA + Economics, two publications and the incoming economics replication project create unusually direct fit.</x:v>
      </x:c>
      <x:c r="AA11" s="90" t="str">
        <x:v>Exact posting still controls CPT eligibility; 3.31 GPA may sit below a preferred threshold; No matching public role found in reviewed trackers; LinkedIn network evidence pending</x:v>
      </x:c>
      <x:c r="AB11" s="90" t="str">
        <x:v>No matching role found in reviewed public trackers; treated as missing evidence, not a negative.</x:v>
      </x:c>
      <x:c r="AC11" s="90" t="str"/>
      <x:c r="AD11" s="90" t="str">
        <x:v>Sep-Nov 2026</x:v>
      </x:c>
      <x:c r="AE11" s="90" t="str">
        <x:v>https://www.compasslexecon.com/careers</x:v>
      </x:c>
    </x:row>
    <x:row r="12" ht="54" customHeight="1">
      <x:c r="A12" s="90" t="n">
        <x:v>8</x:v>
      </x:c>
      <x:c r="B12" s="90" t="str">
        <x:v>NERA Economic Consulting</x:v>
      </x:c>
      <x:c r="C12" s="90" t="str">
        <x:v>Strong Target</x:v>
      </x:c>
      <x:c r="D12" s="90" t="n">
        <x:v>16</x:v>
      </x:c>
      <x:c r="E12" s="90" t="n">
        <x:v>2</x:v>
      </x:c>
      <x:c r="F12" s="90" t="n">
        <x:v>56</x:v>
      </x:c>
      <x:c r="G12" s="98" t="n">
        <x:v>0.5876833333333333</x:v>
      </x:c>
      <x:c r="H12" s="98" t="n">
        <x:v>0.8108</x:v>
      </x:c>
      <x:c r="I12" s="98" t="n">
        <x:v>0.9693333333333334</x:v>
      </x:c>
      <x:c r="J12" s="90" t="str">
        <x:v>Medium</x:v>
      </x:c>
      <x:c r="K12" s="90" t="str">
        <x:v>Econ Consulting</x:v>
      </x:c>
      <x:c r="L12" s="90" t="str">
        <x:v>Research Associate Intern</x:v>
      </x:c>
      <x:c r="M12" s="90" t="str">
        <x:v>Economic Consulting</x:v>
      </x:c>
      <x:c r="N12" s="98" t="n">
        <x:v>0.82</x:v>
      </x:c>
      <x:c r="O12" s="90" t="str">
        <x:v>Likely workable; verify exact posting</x:v>
      </x:c>
      <x:c r="P12" s="98" t="n">
        <x:v>0.9159999999999999</x:v>
      </x:c>
      <x:c r="Q12" s="98" t="n">
        <x:v>0</x:v>
      </x:c>
      <x:c r="R12" s="98" t="n">
        <x:v>0.671</x:v>
      </x:c>
      <x:c r="S12" s="98" t="n">
        <x:v>0.5</x:v>
      </x:c>
      <x:c r="T12" s="98" t="n">
        <x:v>0.92</x:v>
      </x:c>
      <x:c r="U12" s="98" t="n">
        <x:v>0.5</x:v>
      </x:c>
      <x:c r="V12" s="98" t="n">
        <x:v>0.64</x:v>
      </x:c>
      <x:c r="W12" s="98" t="n">
        <x:v>0.9701863354037267</x:v>
      </x:c>
      <x:c r="X12" s="90" t="str">
        <x:v>D</x:v>
      </x:c>
      <x:c r="Y12" s="90" t="n">
        <x:v>0</x:v>
      </x:c>
      <x:c r="Z12" s="90" t="str">
        <x:v>CMDA + Economics, two publications and the incoming economics replication project create unusually direct fit.</x:v>
      </x:c>
      <x:c r="AA12" s="90" t="str">
        <x:v>Exact posting still controls CPT eligibility; 3.31 GPA may sit below a preferred threshold; No matching public role found in reviewed trackers; LinkedIn network evidence pending</x:v>
      </x:c>
      <x:c r="AB12" s="90" t="str">
        <x:v>No matching role found in reviewed public trackers; treated as missing evidence, not a negative.</x:v>
      </x:c>
      <x:c r="AC12" s="90" t="str"/>
      <x:c r="AD12" s="90" t="str">
        <x:v>Sep-Nov 2026</x:v>
      </x:c>
      <x:c r="AE12" s="90" t="str">
        <x:v>https://www.nera.com/careers.html</x:v>
      </x:c>
    </x:row>
    <x:row r="13" ht="54" customHeight="1">
      <x:c r="A13" s="90" t="n">
        <x:v>9</x:v>
      </x:c>
      <x:c r="B13" s="90" t="str">
        <x:v>IBM</x:v>
      </x:c>
      <x:c r="C13" s="90" t="str">
        <x:v>Strong Target</x:v>
      </x:c>
      <x:c r="D13" s="90" t="n">
        <x:v>19</x:v>
      </x:c>
      <x:c r="E13" s="90" t="n">
        <x:v>4</x:v>
      </x:c>
      <x:c r="F13" s="90" t="n">
        <x:v>53</x:v>
      </x:c>
      <x:c r="G13" s="98" t="n">
        <x:v>0.5308</x:v>
      </x:c>
      <x:c r="H13" s="98" t="n">
        <x:v>0.8125166666666667</x:v>
      </x:c>
      <x:c r="I13" s="98" t="n">
        <x:v>0.9816666666666667</x:v>
      </x:c>
      <x:c r="J13" s="90" t="str">
        <x:v>Medium</x:v>
      </x:c>
      <x:c r="K13" s="90" t="str">
        <x:v>Big Tech</x:v>
      </x:c>
      <x:c r="L13" s="90" t="str">
        <x:v>Data Science Intern</x:v>
      </x:c>
      <x:c r="M13" s="90" t="str">
        <x:v>Data Science</x:v>
      </x:c>
      <x:c r="N13" s="98" t="n">
        <x:v>0.9</x:v>
      </x:c>
      <x:c r="O13" s="90" t="str">
        <x:v>Strong historical/declared CPT evidence</x:v>
      </x:c>
      <x:c r="P13" s="98" t="n">
        <x:v>0.8617173837394074</x:v>
      </x:c>
      <x:c r="Q13" s="98" t="n">
        <x:v>0.7314492249293822</x:v>
      </x:c>
      <x:c r="R13" s="98" t="n">
        <x:v>0.5826314717538699</x:v>
      </x:c>
      <x:c r="S13" s="98" t="n">
        <x:v>0.75</x:v>
      </x:c>
      <x:c r="T13" s="98" t="n">
        <x:v>0.88</x:v>
      </x:c>
      <x:c r="U13" s="98" t="n">
        <x:v>0.5</x:v>
      </x:c>
      <x:c r="V13" s="98" t="n">
        <x:v>0.76</x:v>
      </x:c>
      <x:c r="W13" s="98" t="n">
        <x:v>0.8857142857142858</x:v>
      </x:c>
      <x:c r="X13" s="90" t="str">
        <x:v>C</x:v>
      </x:c>
      <x:c r="Y13" s="90" t="n">
        <x:v>1</x:v>
      </x:c>
      <x:c r="Z13" s="90" t="str">
        <x:v>ALSAC data science, propensity modeling, DataRobot, Python/SQL and ML research form a clear progression.</x:v>
      </x:c>
      <x:c r="AA13" s="90" t="str">
        <x:v>Exact posting still controls CPT eligibility; LinkedIn network evidence pending</x:v>
      </x:c>
      <x:c r="AB13" s="90" t="str">
        <x:v>2025: Data and AI Intern (undergrad_unknown, exact)</x:v>
      </x:c>
      <x:c r="AC13" s="90" t="str">
        <x:v>https://raw.githubusercontent.com/SimplifyJobs/Summer2026-Internships/refs/heads/dev/archived/README-2025.md</x:v>
      </x:c>
      <x:c r="AD13" s="90" t="str">
        <x:v>Sep-Nov 2026</x:v>
      </x:c>
      <x:c r="AE13" s="90" t="str">
        <x:v>https://www.ibm.com/careers/internships</x:v>
      </x:c>
    </x:row>
    <x:row r="14" ht="54" customHeight="1">
      <x:c r="A14" s="90" t="n">
        <x:v>10</x:v>
      </x:c>
      <x:c r="B14" s="90" t="str">
        <x:v>Nielsen / NielsenIQ</x:v>
      </x:c>
      <x:c r="C14" s="90" t="str">
        <x:v>Strong Target</x:v>
      </x:c>
      <x:c r="D14" s="90" t="n">
        <x:v>22</x:v>
      </x:c>
      <x:c r="E14" s="90" t="n">
        <x:v>4</x:v>
      </x:c>
      <x:c r="F14" s="90" t="n">
        <x:v>65</x:v>
      </x:c>
      <x:c r="G14" s="98" t="n">
        <x:v>0.4776166666666667</x:v>
      </x:c>
      <x:c r="H14" s="98" t="n">
        <x:v>0.7377166666666667</x:v>
      </x:c>
      <x:c r="I14" s="98" t="n">
        <x:v>0.9528166666666666</x:v>
      </x:c>
      <x:c r="J14" s="90" t="str">
        <x:v>Medium</x:v>
      </x:c>
      <x:c r="K14" s="90" t="str">
        <x:v>Data/Analytics</x:v>
      </x:c>
      <x:c r="L14" s="90" t="str">
        <x:v>Data Science Intern</x:v>
      </x:c>
      <x:c r="M14" s="90" t="str">
        <x:v>Data Science</x:v>
      </x:c>
      <x:c r="N14" s="98" t="n">
        <x:v>0.82</x:v>
      </x:c>
      <x:c r="O14" s="90" t="str">
        <x:v>Likely workable; verify exact posting</x:v>
      </x:c>
      <x:c r="P14" s="98" t="n">
        <x:v>0.8963550004041585</x:v>
      </x:c>
      <x:c r="Q14" s="98" t="n">
        <x:v>0.5290333360277235</x:v>
      </x:c>
      <x:c r="R14" s="98" t="n">
        <x:v>0.588206815277534</x:v>
      </x:c>
      <x:c r="S14" s="98" t="n">
        <x:v>0.75</x:v>
      </x:c>
      <x:c r="T14" s="98" t="n">
        <x:v>0.92</x:v>
      </x:c>
      <x:c r="U14" s="98" t="n">
        <x:v>0.5</x:v>
      </x:c>
      <x:c r="V14" s="98" t="n">
        <x:v>0.76</x:v>
      </x:c>
      <x:c r="W14" s="98" t="n">
        <x:v>0.9204968944099379</x:v>
      </x:c>
      <x:c r="X14" s="90" t="str">
        <x:v>C</x:v>
      </x:c>
      <x:c r="Y14" s="90" t="n">
        <x:v>1</x:v>
      </x:c>
      <x:c r="Z14" s="90" t="str">
        <x:v>ALSAC data science, propensity modeling, DataRobot, Python/SQL and ML research form a clear progression. Consumer insights and segmentation are especially aligned with his prior work.</x:v>
      </x:c>
      <x:c r="AA14" s="90" t="str">
        <x:v>Exact posting still controls CPT eligibility; LinkedIn network evidence pending</x:v>
      </x:c>
      <x:c r="AB14" s="90" t="str">
        <x:v>2026: Data Science Intern (undergrad_unknown, exact)</x:v>
      </x:c>
      <x:c r="AC14" s="90" t="str">
        <x:v>https://raw.githubusercontent.com/SimplifyJobs/Summer2026-Internships/refs/heads/dev/README-Inactive.md</x:v>
      </x:c>
      <x:c r="AD14" s="90" t="str">
        <x:v>Sep-Nov 2026</x:v>
      </x:c>
      <x:c r="AE14" s="90" t="str">
        <x:v>https://nielseniq.com/global/en/careers/</x:v>
      </x:c>
    </x:row>
    <x:row r="15" ht="54" customHeight="1">
      <x:c r="A15" s="90" t="n">
        <x:v>11</x:v>
      </x:c>
      <x:c r="B15" s="90" t="str">
        <x:v>Salesforce</x:v>
      </x:c>
      <x:c r="C15" s="90" t="str">
        <x:v>Strong Target</x:v>
      </x:c>
      <x:c r="D15" s="90" t="n">
        <x:v>22</x:v>
      </x:c>
      <x:c r="E15" s="90" t="n">
        <x:v>4</x:v>
      </x:c>
      <x:c r="F15" s="90" t="n">
        <x:v>65</x:v>
      </x:c>
      <x:c r="G15" s="98" t="n">
        <x:v>0.469</x:v>
      </x:c>
      <x:c r="H15" s="98" t="n">
        <x:v>0.7351166666666666</x:v>
      </x:c>
      <x:c r="I15" s="98" t="n">
        <x:v>0.9539333333333333</x:v>
      </x:c>
      <x:c r="J15" s="90" t="str">
        <x:v>Medium</x:v>
      </x:c>
      <x:c r="K15" s="90" t="str">
        <x:v>Big Tech</x:v>
      </x:c>
      <x:c r="L15" s="90" t="str">
        <x:v>Futureforce Data Analytics Intern</x:v>
      </x:c>
      <x:c r="M15" s="90" t="str">
        <x:v>Data Analytics</x:v>
      </x:c>
      <x:c r="N15" s="98" t="n">
        <x:v>0.82</x:v>
      </x:c>
      <x:c r="O15" s="90" t="str">
        <x:v>Likely workable; verify exact posting</x:v>
      </x:c>
      <x:c r="P15" s="98" t="n">
        <x:v>0.9215293418102584</x:v>
      </x:c>
      <x:c r="Q15" s="98" t="n">
        <x:v>0.4768622787350561</x:v>
      </x:c>
      <x:c r="R15" s="98" t="n">
        <x:v>0.6646103548061917</x:v>
      </x:c>
      <x:c r="S15" s="98" t="n">
        <x:v>0.75</x:v>
      </x:c>
      <x:c r="T15" s="98" t="n">
        <x:v>0.92</x:v>
      </x:c>
      <x:c r="U15" s="98" t="n">
        <x:v>0.5</x:v>
      </x:c>
      <x:c r="V15" s="98" t="n">
        <x:v>0.76</x:v>
      </x:c>
      <x:c r="W15" s="98" t="n">
        <x:v>0.7217391304347827</x:v>
      </x:c>
      <x:c r="X15" s="90" t="str">
        <x:v>C</x:v>
      </x:c>
      <x:c r="Y15" s="90" t="n">
        <x:v>2</x:v>
      </x:c>
      <x:c r="Z15" s="90" t="str">
        <x:v>Three analytics internships plus SQL, Python, Tableau, forecasting and segmentation directly match the lane.</x:v>
      </x:c>
      <x:c r="AA15" s="90" t="str">
        <x:v>Exact posting still controls CPT eligibility; LinkedIn network evidence pending</x:v>
      </x:c>
      <x:c r="AB15" s="90" t="str">
        <x:v>2027: Software Engineer Intern (undergrad, off_target) | 2025: Data Analyst Intern (undergrad_unknown, exact)</x:v>
      </x:c>
      <x:c r="AC15" s="90" t="str">
        <x:v>https://raw.githubusercontent.com/SimplifyJobs/Summer2026-Internships/refs/heads/dev/archived/README-2025.md | https://raw.githubusercontent.com/vanshb03/Summer2027-Internships/dev/README.md</x:v>
      </x:c>
      <x:c r="AD15" s="90" t="str">
        <x:v>Sep-Oct 2026</x:v>
      </x:c>
      <x:c r="AE15" s="90" t="str">
        <x:v>https://www.salesforce.com/company/careers/university-recruiting/</x:v>
      </x:c>
    </x:row>
    <x:row r="16" ht="54" customHeight="1">
      <x:c r="A16" s="90" t="n">
        <x:v>12</x:v>
      </x:c>
      <x:c r="B16" s="90" t="str">
        <x:v>DoorDash</x:v>
      </x:c>
      <x:c r="C16" s="90" t="str">
        <x:v>Strong Target</x:v>
      </x:c>
      <x:c r="D16" s="90" t="n">
        <x:v>22</x:v>
      </x:c>
      <x:c r="E16" s="90" t="n">
        <x:v>4</x:v>
      </x:c>
      <x:c r="F16" s="90" t="n">
        <x:v>67</x:v>
      </x:c>
      <x:c r="G16" s="98" t="n">
        <x:v>0.4755333333333333</x:v>
      </x:c>
      <x:c r="H16" s="98" t="n">
        <x:v>0.7261666666666666</x:v>
      </x:c>
      <x:c r="I16" s="98" t="n">
        <x:v>0.9454333333333333</x:v>
      </x:c>
      <x:c r="J16" s="90" t="str">
        <x:v>Medium</x:v>
      </x:c>
      <x:c r="K16" s="90" t="str">
        <x:v>Big Tech</x:v>
      </x:c>
      <x:c r="L16" s="90" t="str">
        <x:v>Data Science / Analytics Intern</x:v>
      </x:c>
      <x:c r="M16" s="90" t="str">
        <x:v>Data Science</x:v>
      </x:c>
      <x:c r="N16" s="98" t="n">
        <x:v>0.82</x:v>
      </x:c>
      <x:c r="O16" s="90" t="str">
        <x:v>Likely workable; verify exact posting</x:v>
      </x:c>
      <x:c r="P16" s="98" t="n">
        <x:v>0.9517386486719563</x:v>
      </x:c>
      <x:c r="Q16" s="98" t="n">
        <x:v>0.898257657813042</x:v>
      </x:c>
      <x:c r="R16" s="98" t="n">
        <x:v>0.545</x:v>
      </x:c>
      <x:c r="S16" s="98" t="n">
        <x:v>0.5</x:v>
      </x:c>
      <x:c r="T16" s="98" t="n">
        <x:v>0.88</x:v>
      </x:c>
      <x:c r="U16" s="98" t="n">
        <x:v>0.5</x:v>
      </x:c>
      <x:c r="V16" s="98" t="n">
        <x:v>0.76</x:v>
      </x:c>
      <x:c r="W16" s="98" t="n">
        <x:v>0.8757763975155279</x:v>
      </x:c>
      <x:c r="X16" s="90" t="str">
        <x:v>D</x:v>
      </x:c>
      <x:c r="Y16" s="90" t="n">
        <x:v>0</x:v>
      </x:c>
      <x:c r="Z16" s="90" t="str">
        <x:v>ALSAC data science, propensity modeling, DataRobot, Python/SQL and ML research form a clear progression. Marketplace/customer behavior is a direct extension of his growth and consumer analytics work.</x:v>
      </x:c>
      <x:c r="AA16" s="90" t="str">
        <x:v>Exact posting still controls CPT eligibility; Observed roles show graduate-degree skew; No matching public role found in reviewed trackers; LinkedIn network evidence pending</x:v>
      </x:c>
      <x:c r="AB16" s="90" t="str">
        <x:v>No matching role found in reviewed public trackers; treated as missing evidence, not a negative.</x:v>
      </x:c>
      <x:c r="AC16" s="90" t="str"/>
      <x:c r="AD16" s="90" t="str">
        <x:v>Aug-Oct 2026</x:v>
      </x:c>
      <x:c r="AE16" s="90" t="str">
        <x:v>https://careers.doordash.com/university/</x:v>
      </x:c>
    </x:row>
    <x:row r="17" ht="54" customHeight="1">
      <x:c r="A17" s="90" t="n">
        <x:v>13</x:v>
      </x:c>
      <x:c r="B17" s="90" t="str">
        <x:v>Airbnb</x:v>
      </x:c>
      <x:c r="C17" s="90" t="str">
        <x:v>Strong Target</x:v>
      </x:c>
      <x:c r="D17" s="90" t="n">
        <x:v>23</x:v>
      </x:c>
      <x:c r="E17" s="90" t="n">
        <x:v>4</x:v>
      </x:c>
      <x:c r="F17" s="90" t="n">
        <x:v>65</x:v>
      </x:c>
      <x:c r="G17" s="98" t="n">
        <x:v>0.4580666666666667</x:v>
      </x:c>
      <x:c r="H17" s="98" t="n">
        <x:v>0.7278333333333333</x:v>
      </x:c>
      <x:c r="I17" s="98" t="n">
        <x:v>0.9537333333333333</x:v>
      </x:c>
      <x:c r="J17" s="90" t="str">
        <x:v>Medium</x:v>
      </x:c>
      <x:c r="K17" s="90" t="str">
        <x:v>Big Tech</x:v>
      </x:c>
      <x:c r="L17" s="90" t="str">
        <x:v>Data Science Intern</x:v>
      </x:c>
      <x:c r="M17" s="90" t="str">
        <x:v>Data Science</x:v>
      </x:c>
      <x:c r="N17" s="98" t="n">
        <x:v>0.82</x:v>
      </x:c>
      <x:c r="O17" s="90" t="str">
        <x:v>Likely workable; verify exact posting</x:v>
      </x:c>
      <x:c r="P17" s="98" t="n">
        <x:v>0.9265889448951525</x:v>
      </x:c>
      <x:c r="Q17" s="98" t="n">
        <x:v>0.7305929659676829</x:v>
      </x:c>
      <x:c r="R17" s="98" t="n">
        <x:v>0.6620160994445603</x:v>
      </x:c>
      <x:c r="S17" s="98" t="n">
        <x:v>0.75</x:v>
      </x:c>
      <x:c r="T17" s="98" t="n">
        <x:v>0.88</x:v>
      </x:c>
      <x:c r="U17" s="98" t="n">
        <x:v>0.5</x:v>
      </x:c>
      <x:c r="V17" s="98" t="n">
        <x:v>0.76</x:v>
      </x:c>
      <x:c r="W17" s="98" t="n">
        <x:v>0.746583850931677</x:v>
      </x:c>
      <x:c r="X17" s="90" t="str">
        <x:v>C</x:v>
      </x:c>
      <x:c r="Y17" s="90" t="n">
        <x:v>2</x:v>
      </x:c>
      <x:c r="Z17" s="90" t="str">
        <x:v>ALSAC data science, propensity modeling, DataRobot, Python/SQL and ML research form a clear progression. Marketplace/customer behavior is a direct extension of his growth and consumer analytics work.</x:v>
      </x:c>
      <x:c r="AA17" s="90" t="str">
        <x:v>Exact posting still controls CPT eligibility; LinkedIn network evidence pending</x:v>
      </x:c>
      <x:c r="AB17" s="90" t="str">
        <x:v>2026: Data Science Intern (undergrad_unknown, exact) | 2026: Advanced Analytics Intern (undergrad_unknown, exact)</x:v>
      </x:c>
      <x:c r="AC17" s="90" t="str">
        <x:v>https://raw.githubusercontent.com/SimplifyJobs/Summer2026-Internships/refs/heads/dev/README-Inactive.md</x:v>
      </x:c>
      <x:c r="AD17" s="90" t="str">
        <x:v>Sep-Nov 2026</x:v>
      </x:c>
      <x:c r="AE17" s="90" t="str">
        <x:v>https://careers.airbnb.com/university/</x:v>
      </x:c>
    </x:row>
    <x:row r="18" ht="54" customHeight="1">
      <x:c r="A18" s="90" t="n">
        <x:v>14</x:v>
      </x:c>
      <x:c r="B18" s="90" t="str">
        <x:v>Appian</x:v>
      </x:c>
      <x:c r="C18" s="90" t="str">
        <x:v>Target</x:v>
      </x:c>
      <x:c r="D18" s="90" t="n">
        <x:v>24</x:v>
      </x:c>
      <x:c r="E18" s="90" t="n">
        <x:v>2</x:v>
      </x:c>
      <x:c r="F18" s="90" t="n">
        <x:v>83</x:v>
      </x:c>
      <x:c r="G18" s="98" t="n">
        <x:v>0.45621666666666666</x:v>
      </x:c>
      <x:c r="H18" s="98" t="n">
        <x:v>0.66535</x:v>
      </x:c>
      <x:c r="I18" s="98" t="n">
        <x:v>0.8901833333333333</x:v>
      </x:c>
      <x:c r="J18" s="90" t="str">
        <x:v>Low</x:v>
      </x:c>
      <x:c r="K18" s="90" t="str">
        <x:v>Tech (VA, VT pipeline)</x:v>
      </x:c>
      <x:c r="L18" s="90" t="str">
        <x:v>Data/Solutions Intern</x:v>
      </x:c>
      <x:c r="M18" s="90" t="str">
        <x:v>Data Analytics</x:v>
      </x:c>
      <x:c r="N18" s="98" t="n">
        <x:v>0.62</x:v>
      </x:c>
      <x:c r="O18" s="90" t="str">
        <x:v>Role-specific; verify future-sponsorship wording</x:v>
      </x:c>
      <x:c r="P18" s="98" t="n">
        <x:v>1</x:v>
      </x:c>
      <x:c r="Q18" s="98" t="n">
        <x:v>0.915728247050538</x:v>
      </x:c>
      <x:c r="R18" s="98" t="n">
        <x:v>0.644</x:v>
      </x:c>
      <x:c r="S18" s="98" t="n">
        <x:v>0.5</x:v>
      </x:c>
      <x:c r="T18" s="98" t="n">
        <x:v>0.92</x:v>
      </x:c>
      <x:c r="U18" s="98" t="n">
        <x:v>0.78</x:v>
      </x:c>
      <x:c r="V18" s="98" t="n">
        <x:v>0.76</x:v>
      </x:c>
      <x:c r="W18" s="98" t="n">
        <x:v>0.9950310559006212</x:v>
      </x:c>
      <x:c r="X18" s="90" t="str">
        <x:v>D</x:v>
      </x:c>
      <x:c r="Y18" s="90" t="n">
        <x:v>0</x:v>
      </x:c>
      <x:c r="Z18" s="90" t="str">
        <x:v>Three analytics internships plus SQL, Python, Tableau, forecasting and segmentation directly match the lane. The Virginia/VT pipeline adds practical recruiting access.</x:v>
      </x:c>
      <x:c r="AA18" s="90" t="str">
        <x:v>CPT/future-sponsorship wording must be verified; No matching public role found in reviewed trackers</x:v>
      </x:c>
      <x:c r="AB18" s="90" t="str">
        <x:v>No matching role found in reviewed public trackers; treated as missing evidence, not a negative.</x:v>
      </x:c>
      <x:c r="AC18" s="90" t="str"/>
      <x:c r="AD18" s="90" t="str">
        <x:v>Sep-Nov 2026</x:v>
      </x:c>
      <x:c r="AE18" s="90" t="str">
        <x:v>https://careers.appian.com/</x:v>
      </x:c>
    </x:row>
    <x:row r="19" ht="54" customHeight="1">
      <x:c r="A19" s="90" t="n">
        <x:v>15</x:v>
      </x:c>
      <x:c r="B19" s="90" t="str">
        <x:v>Cvent</x:v>
      </x:c>
      <x:c r="C19" s="90" t="str">
        <x:v>Target</x:v>
      </x:c>
      <x:c r="D19" s="90" t="n">
        <x:v>24</x:v>
      </x:c>
      <x:c r="E19" s="90" t="n">
        <x:v>2</x:v>
      </x:c>
      <x:c r="F19" s="90" t="n">
        <x:v>83</x:v>
      </x:c>
      <x:c r="G19" s="98" t="n">
        <x:v>0.4547</x:v>
      </x:c>
      <x:c r="H19" s="98" t="n">
        <x:v>0.6636166666666666</x:v>
      </x:c>
      <x:c r="I19" s="98" t="n">
        <x:v>0.8899833333333333</x:v>
      </x:c>
      <x:c r="J19" s="90" t="str">
        <x:v>Low</x:v>
      </x:c>
      <x:c r="K19" s="90" t="str">
        <x:v>Tech (VA, VT pipeline)</x:v>
      </x:c>
      <x:c r="L19" s="90" t="str">
        <x:v>Data Analytics Intern</x:v>
      </x:c>
      <x:c r="M19" s="90" t="str">
        <x:v>Data Analytics</x:v>
      </x:c>
      <x:c r="N19" s="98" t="n">
        <x:v>0.62</x:v>
      </x:c>
      <x:c r="O19" s="90" t="str">
        <x:v>Role-specific; verify future-sponsorship wording</x:v>
      </x:c>
      <x:c r="P19" s="98" t="n">
        <x:v>1</x:v>
      </x:c>
      <x:c r="Q19" s="98" t="n">
        <x:v>1</x:v>
      </x:c>
      <x:c r="R19" s="98" t="n">
        <x:v>0.644</x:v>
      </x:c>
      <x:c r="S19" s="98" t="n">
        <x:v>0.5</x:v>
      </x:c>
      <x:c r="T19" s="98" t="n">
        <x:v>0.92</x:v>
      </x:c>
      <x:c r="U19" s="98" t="n">
        <x:v>0.78</x:v>
      </x:c>
      <x:c r="V19" s="98" t="n">
        <x:v>0.76</x:v>
      </x:c>
      <x:c r="W19" s="98" t="n">
        <x:v>0.9900621118012423</x:v>
      </x:c>
      <x:c r="X19" s="90" t="str">
        <x:v>D</x:v>
      </x:c>
      <x:c r="Y19" s="90" t="n">
        <x:v>0</x:v>
      </x:c>
      <x:c r="Z19" s="90" t="str">
        <x:v>Three analytics internships plus SQL, Python, Tableau, forecasting and segmentation directly match the lane. The Virginia/VT pipeline adds practical recruiting access.</x:v>
      </x:c>
      <x:c r="AA19" s="90" t="str">
        <x:v>CPT/future-sponsorship wording must be verified; No matching public role found in reviewed trackers</x:v>
      </x:c>
      <x:c r="AB19" s="90" t="str">
        <x:v>No matching role found in reviewed public trackers; treated as missing evidence, not a negative.</x:v>
      </x:c>
      <x:c r="AC19" s="90" t="str"/>
      <x:c r="AD19" s="90" t="str">
        <x:v>Sep-Nov 2026</x:v>
      </x:c>
      <x:c r="AE19" s="90" t="str">
        <x:v>https://www.cvent.com/en/careers</x:v>
      </x:c>
    </x:row>
    <x:row r="20" ht="54" customHeight="1">
      <x:c r="A20" s="90" t="n">
        <x:v>16</x:v>
      </x:c>
      <x:c r="B20" s="90" t="str">
        <x:v>Wayfair</x:v>
      </x:c>
      <x:c r="C20" s="90" t="str">
        <x:v>Target</x:v>
      </x:c>
      <x:c r="D20" s="90" t="n">
        <x:v>27</x:v>
      </x:c>
      <x:c r="E20" s="90" t="n">
        <x:v>5</x:v>
      </x:c>
      <x:c r="F20" s="90" t="n">
        <x:v>75</x:v>
      </x:c>
      <x:c r="G20" s="98" t="n">
        <x:v>0.40273333333333333</x:v>
      </x:c>
      <x:c r="H20" s="98" t="n">
        <x:v>0.6624833333333333</x:v>
      </x:c>
      <x:c r="I20" s="98" t="n">
        <x:v>0.9218166666666666</x:v>
      </x:c>
      <x:c r="J20" s="90" t="str">
        <x:v>Medium</x:v>
      </x:c>
      <x:c r="K20" s="90" t="str">
        <x:v>Big Tech</x:v>
      </x:c>
      <x:c r="L20" s="90" t="str">
        <x:v>Data Science Intern</x:v>
      </x:c>
      <x:c r="M20" s="90" t="str">
        <x:v>Data Science</x:v>
      </x:c>
      <x:c r="N20" s="98" t="n">
        <x:v>0.82</x:v>
      </x:c>
      <x:c r="O20" s="90" t="str">
        <x:v>Likely workable; verify exact posting</x:v>
      </x:c>
      <x:c r="P20" s="98" t="n">
        <x:v>0.9167079075710682</x:v>
      </x:c>
      <x:c r="Q20" s="98" t="n">
        <x:v>0.7647193838071218</x:v>
      </x:c>
      <x:c r="R20" s="98" t="n">
        <x:v>0.545</x:v>
      </x:c>
      <x:c r="S20" s="98" t="n">
        <x:v>0.5</x:v>
      </x:c>
      <x:c r="T20" s="98" t="n">
        <x:v>0.88</x:v>
      </x:c>
      <x:c r="U20" s="98" t="n">
        <x:v>0.5</x:v>
      </x:c>
      <x:c r="V20" s="98" t="n">
        <x:v>0.76</x:v>
      </x:c>
      <x:c r="W20" s="98" t="n">
        <x:v>0.8509316770186336</x:v>
      </x:c>
      <x:c r="X20" s="90" t="str">
        <x:v>D</x:v>
      </x:c>
      <x:c r="Y20" s="90" t="n">
        <x:v>0</x:v>
      </x:c>
      <x:c r="Z20" s="90" t="str">
        <x:v>ALSAC data science, propensity modeling, DataRobot, Python/SQL and ML research form a clear progression. Marketplace/customer behavior is a direct extension of his growth and consumer analytics work.</x:v>
      </x:c>
      <x:c r="AA20" s="90" t="str">
        <x:v>Exact posting still controls CPT eligibility; Observed roles show graduate-degree skew; No matching public role found in reviewed trackers; LinkedIn network evidence pending</x:v>
      </x:c>
      <x:c r="AB20" s="90" t="str">
        <x:v>No matching role found in reviewed public trackers; treated as missing evidence, not a negative.</x:v>
      </x:c>
      <x:c r="AC20" s="90" t="str"/>
      <x:c r="AD20" s="90" t="str">
        <x:v>Sep-Nov 2026</x:v>
      </x:c>
      <x:c r="AE20" s="90" t="str">
        <x:v>https://www.aboutwayfair.com/careers/early-career</x:v>
      </x:c>
    </x:row>
    <x:row r="21" ht="54" customHeight="1">
      <x:c r="A21" s="90" t="n">
        <x:v>17</x:v>
      </x:c>
      <x:c r="B21" s="90" t="str">
        <x:v>Snowflake</x:v>
      </x:c>
      <x:c r="C21" s="90" t="str">
        <x:v>Target</x:v>
      </x:c>
      <x:c r="D21" s="90" t="n">
        <x:v>28</x:v>
      </x:c>
      <x:c r="E21" s="90" t="n">
        <x:v>6</x:v>
      </x:c>
      <x:c r="F21" s="90" t="n">
        <x:v>73</x:v>
      </x:c>
      <x:c r="G21" s="98" t="n">
        <x:v>0.3811833333333333</x:v>
      </x:c>
      <x:c r="H21" s="98" t="n">
        <x:v>0.6602</x:v>
      </x:c>
      <x:c r="I21" s="98" t="n">
        <x:v>0.9284333333333333</x:v>
      </x:c>
      <x:c r="J21" s="90" t="str">
        <x:v>Medium</x:v>
      </x:c>
      <x:c r="K21" s="90" t="str">
        <x:v>Big Tech</x:v>
      </x:c>
      <x:c r="L21" s="90" t="str">
        <x:v>Data Science Intern</x:v>
      </x:c>
      <x:c r="M21" s="90" t="str">
        <x:v>Data Science</x:v>
      </x:c>
      <x:c r="N21" s="98" t="n">
        <x:v>0.82</x:v>
      </x:c>
      <x:c r="O21" s="90" t="str">
        <x:v>Likely workable; verify exact posting</x:v>
      </x:c>
      <x:c r="P21" s="98" t="n">
        <x:v>0.846156844499341</x:v>
      </x:c>
      <x:c r="Q21" s="98" t="n">
        <x:v>0.6277122966622734</x:v>
      </x:c>
      <x:c r="R21" s="98" t="n">
        <x:v>0.7407142857142858</x:v>
      </x:c>
      <x:c r="S21" s="98" t="n">
        <x:v>0.7499999999999999</x:v>
      </x:c>
      <x:c r="T21" s="98" t="n">
        <x:v>0.92</x:v>
      </x:c>
      <x:c r="U21" s="98" t="n">
        <x:v>0.5</x:v>
      </x:c>
      <x:c r="V21" s="98" t="n">
        <x:v>0.76</x:v>
      </x:c>
      <x:c r="W21" s="98" t="n">
        <x:v>0.7068322981366459</x:v>
      </x:c>
      <x:c r="X21" s="90" t="str">
        <x:v>B</x:v>
      </x:c>
      <x:c r="Y21" s="90" t="n">
        <x:v>4</x:v>
      </x:c>
      <x:c r="Z21" s="90" t="str">
        <x:v>ALSAC data science, propensity modeling, DataRobot, Python/SQL and ML research form a clear progression.</x:v>
      </x:c>
      <x:c r="AA21" s="90" t="str">
        <x:v>Exact posting still controls CPT eligibility; LinkedIn network evidence pending</x:v>
      </x:c>
      <x:c r="AB21" s="90" t="str">
        <x:v>2025: Academic Program Growth &amp; Analytics Intern (undergrad_unknown, exact) | 2026: Business Analyst Intern (undergrad_unknown, adjacent) | 2026: Data Science Intern (undergrad_unknown, exact) | 2026: Analytics Engineering Intern (undergrad_unknown, exact)</x:v>
      </x:c>
      <x:c r="AC21" s="90" t="str">
        <x:v>https://raw.githubusercontent.com/SimplifyJobs/Summer2026-Internships/refs/heads/dev/README-Inactive.md | https://raw.githubusercontent.com/SimplifyJobs/Summer2026-Internships/refs/heads/dev/archived/README-2025.md</x:v>
      </x:c>
      <x:c r="AD21" s="90" t="str">
        <x:v>Aug-Oct 2026</x:v>
      </x:c>
      <x:c r="AE21" s="90" t="str">
        <x:v>https://careers.snowflake.com/us/en/university</x:v>
      </x:c>
    </x:row>
    <x:row r="22" ht="54" customHeight="1">
      <x:c r="A22" s="90" t="n">
        <x:v>18</x:v>
      </x:c>
      <x:c r="B22" s="90" t="str">
        <x:v>eBay</x:v>
      </x:c>
      <x:c r="C22" s="90" t="str">
        <x:v>Target</x:v>
      </x:c>
      <x:c r="D22" s="90" t="n">
        <x:v>31</x:v>
      </x:c>
      <x:c r="E22" s="90" t="n">
        <x:v>6</x:v>
      </x:c>
      <x:c r="F22" s="90" t="n">
        <x:v>78</x:v>
      </x:c>
      <x:c r="G22" s="98" t="n">
        <x:v>0.34828333333333333</x:v>
      </x:c>
      <x:c r="H22" s="98" t="n">
        <x:v>0.6198333333333333</x:v>
      </x:c>
      <x:c r="I22" s="98" t="n">
        <x:v>0.9082333333333333</x:v>
      </x:c>
      <x:c r="J22" s="90" t="str">
        <x:v>Low</x:v>
      </x:c>
      <x:c r="K22" s="90" t="str">
        <x:v>Big Tech</x:v>
      </x:c>
      <x:c r="L22" s="90" t="str">
        <x:v>Data Science Intern</x:v>
      </x:c>
      <x:c r="M22" s="90" t="str">
        <x:v>Data Science</x:v>
      </x:c>
      <x:c r="N22" s="98" t="n">
        <x:v>0.82</x:v>
      </x:c>
      <x:c r="O22" s="90" t="str">
        <x:v>Likely workable; verify exact posting</x:v>
      </x:c>
      <x:c r="P22" s="98" t="n">
        <x:v>0.9374191636354638</x:v>
      </x:c>
      <x:c r="Q22" s="98" t="n">
        <x:v>0.902794424236426</x:v>
      </x:c>
      <x:c r="R22" s="98" t="n">
        <x:v>0.5826314717538699</x:v>
      </x:c>
      <x:c r="S22" s="98" t="n">
        <x:v>0.75</x:v>
      </x:c>
      <x:c r="T22" s="98" t="n">
        <x:v>0.88</x:v>
      </x:c>
      <x:c r="U22" s="98" t="n">
        <x:v>0.5</x:v>
      </x:c>
      <x:c r="V22" s="98" t="n">
        <x:v>0.76</x:v>
      </x:c>
      <x:c r="W22" s="98" t="n">
        <x:v>0.6770186335403727</x:v>
      </x:c>
      <x:c r="X22" s="90" t="str">
        <x:v>C</x:v>
      </x:c>
      <x:c r="Y22" s="90" t="n">
        <x:v>1</x:v>
      </x:c>
      <x:c r="Z22" s="90" t="str">
        <x:v>ALSAC data science, propensity modeling, DataRobot, Python/SQL and ML research form a clear progression. Marketplace/customer behavior is a direct extension of his growth and consumer analytics work.</x:v>
      </x:c>
      <x:c r="AA22" s="90" t="str">
        <x:v>Exact posting still controls CPT eligibility; LinkedIn network evidence pending</x:v>
      </x:c>
      <x:c r="AB22" s="90" t="str">
        <x:v>2025: Data Science – Analytics Intern (undergrad_unknown, exact)</x:v>
      </x:c>
      <x:c r="AC22" s="90" t="str">
        <x:v>https://raw.githubusercontent.com/SimplifyJobs/Summer2026-Internships/refs/heads/dev/archived/README-2025.md</x:v>
      </x:c>
      <x:c r="AD22" s="90" t="str">
        <x:v>Sep-Nov 2026</x:v>
      </x:c>
      <x:c r="AE22" s="90" t="str">
        <x:v>https://careers.ebayinc.com/students/</x:v>
      </x:c>
    </x:row>
    <x:row r="23" ht="54" customHeight="1">
      <x:c r="A23" s="90" t="n">
        <x:v>19</x:v>
      </x:c>
      <x:c r="B23" s="90" t="str">
        <x:v>Mastercard</x:v>
      </x:c>
      <x:c r="C23" s="90" t="str">
        <x:v>Target</x:v>
      </x:c>
      <x:c r="D23" s="90" t="n">
        <x:v>31</x:v>
      </x:c>
      <x:c r="E23" s="90" t="n">
        <x:v>6</x:v>
      </x:c>
      <x:c r="F23" s="90" t="n">
        <x:v>80</x:v>
      </x:c>
      <x:c r="G23" s="98" t="n">
        <x:v>0.3506166666666667</x:v>
      </x:c>
      <x:c r="H23" s="98" t="n">
        <x:v>0.6151</x:v>
      </x:c>
      <x:c r="I23" s="98" t="n">
        <x:v>0.9016833333333333</x:v>
      </x:c>
      <x:c r="J23" s="90" t="str">
        <x:v>Low</x:v>
      </x:c>
      <x:c r="K23" s="90" t="str">
        <x:v>Finance/Tech</x:v>
      </x:c>
      <x:c r="L23" s="90" t="str">
        <x:v>Data Science / Analytics Intern (Launch)</x:v>
      </x:c>
      <x:c r="M23" s="90" t="str">
        <x:v>Data Science</x:v>
      </x:c>
      <x:c r="N23" s="98" t="n">
        <x:v>0.82</x:v>
      </x:c>
      <x:c r="O23" s="90" t="str">
        <x:v>Likely workable; verify exact posting</x:v>
      </x:c>
      <x:c r="P23" s="98" t="n">
        <x:v>0.965798780644392</x:v>
      </x:c>
      <x:c r="Q23" s="98" t="n">
        <x:v>0.8919918709626118</x:v>
      </x:c>
      <x:c r="R23" s="98" t="n">
        <x:v>0.545</x:v>
      </x:c>
      <x:c r="S23" s="98" t="n">
        <x:v>0.5</x:v>
      </x:c>
      <x:c r="T23" s="98" t="n">
        <x:v>0.92</x:v>
      </x:c>
      <x:c r="U23" s="98" t="n">
        <x:v>0.5</x:v>
      </x:c>
      <x:c r="V23" s="98" t="n">
        <x:v>0.76</x:v>
      </x:c>
      <x:c r="W23" s="98" t="n">
        <x:v>0.6273291925465838</x:v>
      </x:c>
      <x:c r="X23" s="90" t="str">
        <x:v>D</x:v>
      </x:c>
      <x:c r="Y23" s="90" t="n">
        <x:v>0</x:v>
      </x:c>
      <x:c r="Z23" s="90" t="str">
        <x:v>ALSAC data science, propensity modeling, DataRobot, Python/SQL and ML research form a clear progression. Payments and consumer-spend analytics closely match his consumer-behavior and segmentation experience.</x:v>
      </x:c>
      <x:c r="AA23" s="90" t="str">
        <x:v>Exact posting still controls CPT eligibility; Observed roles show graduate-degree skew; No matching public role found in reviewed trackers; LinkedIn network evidence pending</x:v>
      </x:c>
      <x:c r="AB23" s="90" t="str">
        <x:v>No matching role found in reviewed public trackers; treated as missing evidence, not a negative.</x:v>
      </x:c>
      <x:c r="AC23" s="90" t="str"/>
      <x:c r="AD23" s="90" t="str">
        <x:v>Aug-Oct 2026</x:v>
      </x:c>
      <x:c r="AE23" s="90" t="str">
        <x:v>https://careers.mastercard.com/us/en/students</x:v>
      </x:c>
    </x:row>
    <x:row r="24" ht="54" customHeight="1">
      <x:c r="A24" s="90" t="n">
        <x:v>20</x:v>
      </x:c>
      <x:c r="B24" s="90" t="str">
        <x:v>American Express</x:v>
      </x:c>
      <x:c r="C24" s="90" t="str">
        <x:v>Target</x:v>
      </x:c>
      <x:c r="D24" s="90" t="n">
        <x:v>32</x:v>
      </x:c>
      <x:c r="E24" s="90" t="n">
        <x:v>7</x:v>
      </x:c>
      <x:c r="F24" s="90" t="n">
        <x:v>81</x:v>
      </x:c>
      <x:c r="G24" s="98" t="n">
        <x:v>0.3334666666666667</x:v>
      </x:c>
      <x:c r="H24" s="98" t="n">
        <x:v>0.6003666666666667</x:v>
      </x:c>
      <x:c r="I24" s="98" t="n">
        <x:v>0.8978833333333334</x:v>
      </x:c>
      <x:c r="J24" s="90" t="str">
        <x:v>Low</x:v>
      </x:c>
      <x:c r="K24" s="90" t="str">
        <x:v>Finance/Tech</x:v>
      </x:c>
      <x:c r="L24" s="90" t="str">
        <x:v>Data Science Summer Intern</x:v>
      </x:c>
      <x:c r="M24" s="90" t="str">
        <x:v>Data Science</x:v>
      </x:c>
      <x:c r="N24" s="98" t="n">
        <x:v>0.82</x:v>
      </x:c>
      <x:c r="O24" s="90" t="str">
        <x:v>Likely workable; verify exact posting</x:v>
      </x:c>
      <x:c r="P24" s="98" t="n">
        <x:v>0.9089653895831162</x:v>
      </x:c>
      <x:c r="Q24" s="98" t="n">
        <x:v>0.5131025972207734</x:v>
      </x:c>
      <x:c r="R24" s="98" t="n">
        <x:v>0.6275363042723033</x:v>
      </x:c>
      <x:c r="S24" s="98" t="n">
        <x:v>1</x:v>
      </x:c>
      <x:c r="T24" s="98" t="n">
        <x:v>0.92</x:v>
      </x:c>
      <x:c r="U24" s="98" t="n">
        <x:v>0.5</x:v>
      </x:c>
      <x:c r="V24" s="98" t="n">
        <x:v>0.76</x:v>
      </x:c>
      <x:c r="W24" s="98" t="n">
        <x:v>0.622360248447205</x:v>
      </x:c>
      <x:c r="X24" s="90" t="str">
        <x:v>C</x:v>
      </x:c>
      <x:c r="Y24" s="90" t="n">
        <x:v>1</x:v>
      </x:c>
      <x:c r="Z24" s="90" t="str">
        <x:v>ALSAC data science, propensity modeling, DataRobot, Python/SQL and ML research form a clear progression. Payments and consumer-spend analytics closely match his consumer-behavior and segmentation experience.</x:v>
      </x:c>
      <x:c r="AA24" s="90" t="str">
        <x:v>Exact posting still controls CPT eligibility; LinkedIn network evidence pending</x:v>
      </x:c>
      <x:c r="AB24" s="90" t="str">
        <x:v>2026: Campus Undergraduate Intern Program – Data Management – Technology (undergrad, exact)</x:v>
      </x:c>
      <x:c r="AC24" s="90" t="str">
        <x:v>https://raw.githubusercontent.com/SimplifyJobs/Summer2026-Internships/refs/heads/dev/README-Inactive.md</x:v>
      </x:c>
      <x:c r="AD24" s="90" t="str">
        <x:v>Aug-Oct 2026</x:v>
      </x:c>
      <x:c r="AE24" s="90" t="str">
        <x:v>https://www.americanexpress.com/en-us/careers/students/</x:v>
      </x:c>
    </x:row>
    <x:row r="25" ht="54" customHeight="1">
      <x:c r="A25" s="90" t="n">
        <x:v>21</x:v>
      </x:c>
      <x:c r="B25" s="90" t="str">
        <x:v>Intel</x:v>
      </x:c>
      <x:c r="C25" s="90" t="str">
        <x:v>Target</x:v>
      </x:c>
      <x:c r="D25" s="90" t="n">
        <x:v>35</x:v>
      </x:c>
      <x:c r="E25" s="90" t="n">
        <x:v>10</x:v>
      </x:c>
      <x:c r="F25" s="90" t="n">
        <x:v>75</x:v>
      </x:c>
      <x:c r="G25" s="98" t="n">
        <x:v>0.27375</x:v>
      </x:c>
      <x:c r="H25" s="98" t="n">
        <x:v>0.5853333333333334</x:v>
      </x:c>
      <x:c r="I25" s="98" t="n">
        <x:v>0.9243833333333333</x:v>
      </x:c>
      <x:c r="J25" s="90" t="str">
        <x:v>Medium</x:v>
      </x:c>
      <x:c r="K25" s="90" t="str">
        <x:v>Big Tech</x:v>
      </x:c>
      <x:c r="L25" s="90" t="str">
        <x:v>Data Science / Analytics Intern</x:v>
      </x:c>
      <x:c r="M25" s="90" t="str">
        <x:v>Data Science</x:v>
      </x:c>
      <x:c r="N25" s="98" t="n">
        <x:v>0.9</x:v>
      </x:c>
      <x:c r="O25" s="90" t="str">
        <x:v>Strong historical/declared CPT evidence</x:v>
      </x:c>
      <x:c r="P25" s="98" t="n">
        <x:v>0.9019999999999999</x:v>
      </x:c>
      <x:c r="Q25" s="98" t="n">
        <x:v>1</x:v>
      </x:c>
      <x:c r="R25" s="98" t="n">
        <x:v>0.5965525840432369</x:v>
      </x:c>
      <x:c r="S25" s="98" t="n">
        <x:v>1</x:v>
      </x:c>
      <x:c r="T25" s="98" t="n">
        <x:v>0.62</x:v>
      </x:c>
      <x:c r="U25" s="98" t="n">
        <x:v>0.5</x:v>
      </x:c>
      <x:c r="V25" s="98" t="n">
        <x:v>0.76</x:v>
      </x:c>
      <x:c r="W25" s="98" t="n">
        <x:v>0.7316770186335404</x:v>
      </x:c>
      <x:c r="X25" s="90" t="str">
        <x:v>C</x:v>
      </x:c>
      <x:c r="Y25" s="90" t="n">
        <x:v>1</x:v>
      </x:c>
      <x:c r="Z25" s="90" t="str">
        <x:v>ALSAC data science, propensity modeling, DataRobot, Python/SQL and ML research form a clear progression.</x:v>
      </x:c>
      <x:c r="AA25" s="90" t="str">
        <x:v>Exact posting still controls CPT eligibility; LinkedIn network evidence pending</x:v>
      </x:c>
      <x:c r="AB25" s="90" t="str">
        <x:v>2025: Machine Learning Software Engineering Undergraduate Intern (undergrad, adjacent)</x:v>
      </x:c>
      <x:c r="AC25" s="90" t="str">
        <x:v>https://raw.githubusercontent.com/SimplifyJobs/Summer2026-Internships/refs/heads/dev/archived/README-2025.md</x:v>
      </x:c>
      <x:c r="AD25" s="90" t="str">
        <x:v>Sep-Nov 2026</x:v>
      </x:c>
      <x:c r="AE25" s="90" t="str">
        <x:v>https://intel.com/jobs/students</x:v>
      </x:c>
    </x:row>
    <x:row r="26" ht="54" customHeight="1">
      <x:c r="A26" s="90" t="n">
        <x:v>22</x:v>
      </x:c>
      <x:c r="B26" s="90" t="str">
        <x:v>Cisco</x:v>
      </x:c>
      <x:c r="C26" s="90" t="str">
        <x:v>Target</x:v>
      </x:c>
      <x:c r="D26" s="90" t="n">
        <x:v>37</x:v>
      </x:c>
      <x:c r="E26" s="90" t="n">
        <x:v>8</x:v>
      </x:c>
      <x:c r="F26" s="90" t="n">
        <x:v>86</x:v>
      </x:c>
      <x:c r="G26" s="98" t="n">
        <x:v>0.27935</x:v>
      </x:c>
      <x:c r="H26" s="98" t="n">
        <x:v>0.54595</x:v>
      </x:c>
      <x:c r="I26" s="98" t="n">
        <x:v>0.8757666666666667</x:v>
      </x:c>
      <x:c r="J26" s="90" t="str">
        <x:v>Low</x:v>
      </x:c>
      <x:c r="K26" s="90" t="str">
        <x:v>Big Tech</x:v>
      </x:c>
      <x:c r="L26" s="90" t="str">
        <x:v>Data Science / Analytics Intern</x:v>
      </x:c>
      <x:c r="M26" s="90" t="str">
        <x:v>Data Science</x:v>
      </x:c>
      <x:c r="N26" s="98" t="n">
        <x:v>0.82</x:v>
      </x:c>
      <x:c r="O26" s="90" t="str">
        <x:v>Likely workable; verify exact posting</x:v>
      </x:c>
      <x:c r="P26" s="98" t="n">
        <x:v>0.837352078057451</x:v>
      </x:c>
      <x:c r="Q26" s="98" t="n">
        <x:v>0.569013853716341</x:v>
      </x:c>
      <x:c r="R26" s="98" t="n">
        <x:v>0.5624132657377875</x:v>
      </x:c>
      <x:c r="S26" s="98" t="n">
        <x:v>0.75</x:v>
      </x:c>
      <x:c r="T26" s="98" t="n">
        <x:v>0.88</x:v>
      </x:c>
      <x:c r="U26" s="98" t="n">
        <x:v>0.5</x:v>
      </x:c>
      <x:c r="V26" s="98" t="n">
        <x:v>0.76</x:v>
      </x:c>
      <x:c r="W26" s="98" t="n">
        <x:v>0.8807453416149068</x:v>
      </x:c>
      <x:c r="X26" s="90" t="str">
        <x:v>C</x:v>
      </x:c>
      <x:c r="Y26" s="90" t="n">
        <x:v>1</x:v>
      </x:c>
      <x:c r="Z26" s="90" t="str">
        <x:v>ALSAC data science, propensity modeling, DataRobot, Python/SQL and ML research form a clear progression.</x:v>
      </x:c>
      <x:c r="AA26" s="90" t="str">
        <x:v>Exact posting still controls CPT eligibility; LinkedIn network evidence pending</x:v>
      </x:c>
      <x:c r="AB26" s="90" t="str">
        <x:v>2025: Consulting Engineer Intern (undergrad_unknown, adjacent)</x:v>
      </x:c>
      <x:c r="AC26" s="90" t="str">
        <x:v>https://raw.githubusercontent.com/SimplifyJobs/Summer2026-Internships/refs/heads/dev/archived/README-2025.md</x:v>
      </x:c>
      <x:c r="AD26" s="90" t="str">
        <x:v>Sep-Dec 2026</x:v>
      </x:c>
      <x:c r="AE26" s="90" t="str">
        <x:v>https://www.cisco.com/c/en/us/about/careers/working-at-cisco/students-and-new-graduate-programs.html</x:v>
      </x:c>
    </x:row>
    <x:row r="27" ht="54" customHeight="1">
      <x:c r="A27" s="90" t="n">
        <x:v>23</x:v>
      </x:c>
      <x:c r="B27" s="90" t="str">
        <x:v>CGI</x:v>
      </x:c>
      <x:c r="C27" s="90" t="str">
        <x:v>Target</x:v>
      </x:c>
      <x:c r="D27" s="90" t="n">
        <x:v>37</x:v>
      </x:c>
      <x:c r="E27" s="90" t="n">
        <x:v>5</x:v>
      </x:c>
      <x:c r="F27" s="90" t="n">
        <x:v>102</x:v>
      </x:c>
      <x:c r="G27" s="98" t="n">
        <x:v>0.32306666666666667</x:v>
      </x:c>
      <x:c r="H27" s="98" t="n">
        <x:v>0.5278166666666667</x:v>
      </x:c>
      <x:c r="I27" s="98" t="n">
        <x:v>0.8079</x:v>
      </x:c>
      <x:c r="J27" s="90" t="str">
        <x:v>Low</x:v>
      </x:c>
      <x:c r="K27" s="90" t="str">
        <x:v>Tech/Consulting (VT pipeline)</x:v>
      </x:c>
      <x:c r="L27" s="90" t="str">
        <x:v>Data Analytics Intern</x:v>
      </x:c>
      <x:c r="M27" s="90" t="str">
        <x:v>Analytics Consulting</x:v>
      </x:c>
      <x:c r="N27" s="98" t="n">
        <x:v>0.62</x:v>
      </x:c>
      <x:c r="O27" s="90" t="str">
        <x:v>Role-specific; verify future-sponsorship wording</x:v>
      </x:c>
      <x:c r="P27" s="98" t="n">
        <x:v>0.9320660976600494</x:v>
      </x:c>
      <x:c r="Q27" s="98" t="n">
        <x:v>0.5337739844003284</x:v>
      </x:c>
      <x:c r="R27" s="98" t="n">
        <x:v>0.635</x:v>
      </x:c>
      <x:c r="S27" s="98" t="n">
        <x:v>0.5</x:v>
      </x:c>
      <x:c r="T27" s="98" t="n">
        <x:v>0.92</x:v>
      </x:c>
      <x:c r="U27" s="98" t="n">
        <x:v>0.78</x:v>
      </x:c>
      <x:c r="V27" s="98" t="n">
        <x:v>0.6799999999999999</x:v>
      </x:c>
      <x:c r="W27" s="98" t="n">
        <x:v>0.8906832298136645</x:v>
      </x:c>
      <x:c r="X27" s="90" t="str">
        <x:v>D</x:v>
      </x:c>
      <x:c r="Y27" s="90" t="n">
        <x:v>0</x:v>
      </x:c>
      <x:c r="Z27" s="90" t="str">
        <x:v>Technical analytics plus economics, research and residential leadership support client-facing analytical work. The Virginia/VT pipeline adds practical recruiting access.</x:v>
      </x:c>
      <x:c r="AA27" s="90" t="str">
        <x:v>CPT/future-sponsorship wording must be verified; 3.31 GPA may sit below a preferred threshold; No matching public role found in reviewed trackers</x:v>
      </x:c>
      <x:c r="AB27" s="90" t="str">
        <x:v>No matching role found in reviewed public trackers; treated as missing evidence, not a negative.</x:v>
      </x:c>
      <x:c r="AC27" s="90" t="str"/>
      <x:c r="AD27" s="90" t="str">
        <x:v>Sep-Dec 2026</x:v>
      </x:c>
      <x:c r="AE27" s="90" t="str">
        <x:v>https://cgi.com/en/careers/students</x:v>
      </x:c>
    </x:row>
    <x:row r="28" ht="54" customHeight="1">
      <x:c r="A28" s="90" t="n">
        <x:v>24</x:v>
      </x:c>
      <x:c r="B28" s="90" t="str">
        <x:v>ServiceNow</x:v>
      </x:c>
      <x:c r="C28" s="90" t="str">
        <x:v>Target</x:v>
      </x:c>
      <x:c r="D28" s="90" t="n">
        <x:v>38</x:v>
      </x:c>
      <x:c r="E28" s="90" t="n">
        <x:v>8</x:v>
      </x:c>
      <x:c r="F28" s="90" t="n">
        <x:v>90</x:v>
      </x:c>
      <x:c r="G28" s="98" t="n">
        <x:v>0.28268333333333334</x:v>
      </x:c>
      <x:c r="H28" s="98" t="n">
        <x:v>0.5314</x:v>
      </x:c>
      <x:c r="I28" s="98" t="n">
        <x:v>0.8540833333333333</x:v>
      </x:c>
      <x:c r="J28" s="90" t="str">
        <x:v>Low</x:v>
      </x:c>
      <x:c r="K28" s="90" t="str">
        <x:v>Big Tech</x:v>
      </x:c>
      <x:c r="L28" s="90" t="str">
        <x:v>Data Science / Analytics Intern</x:v>
      </x:c>
      <x:c r="M28" s="90" t="str">
        <x:v>Data Science</x:v>
      </x:c>
      <x:c r="N28" s="98" t="n">
        <x:v>0.82</x:v>
      </x:c>
      <x:c r="O28" s="90" t="str">
        <x:v>Likely workable; verify exact posting</x:v>
      </x:c>
      <x:c r="P28" s="98" t="n">
        <x:v>0.8867386486719564</x:v>
      </x:c>
      <x:c r="Q28" s="98" t="n">
        <x:v>0.898257657813042</x:v>
      </x:c>
      <x:c r="R28" s="98" t="n">
        <x:v>0.545</x:v>
      </x:c>
      <x:c r="S28" s="98" t="n">
        <x:v>0.5</x:v>
      </x:c>
      <x:c r="T28" s="98" t="n">
        <x:v>0.92</x:v>
      </x:c>
      <x:c r="U28" s="98" t="n">
        <x:v>0.5</x:v>
      </x:c>
      <x:c r="V28" s="98" t="n">
        <x:v>0.76</x:v>
      </x:c>
      <x:c r="W28" s="98" t="n">
        <x:v>0.6968944099378882</x:v>
      </x:c>
      <x:c r="X28" s="90" t="str">
        <x:v>D</x:v>
      </x:c>
      <x:c r="Y28" s="90" t="n">
        <x:v>0</x:v>
      </x:c>
      <x:c r="Z28" s="90" t="str">
        <x:v>ALSAC data science, propensity modeling, DataRobot, Python/SQL and ML research form a clear progression.</x:v>
      </x:c>
      <x:c r="AA28" s="90" t="str">
        <x:v>Exact posting still controls CPT eligibility; Observed roles show graduate-degree skew; No matching public role found in reviewed trackers; LinkedIn network evidence pending</x:v>
      </x:c>
      <x:c r="AB28" s="90" t="str">
        <x:v>No matching role found in reviewed public trackers; treated as missing evidence, not a negative.</x:v>
      </x:c>
      <x:c r="AC28" s="90" t="str"/>
      <x:c r="AD28" s="90" t="str">
        <x:v>Sep-Nov 2026</x:v>
      </x:c>
      <x:c r="AE28" s="90" t="str">
        <x:v>https://careers.servicenow.com/early-career/</x:v>
      </x:c>
    </x:row>
    <x:row r="29" ht="54" customHeight="1">
      <x:c r="A29" s="90" t="n">
        <x:v>25</x:v>
      </x:c>
      <x:c r="B29" s="90" t="str">
        <x:v>Instacart</x:v>
      </x:c>
      <x:c r="C29" s="90" t="str">
        <x:v>Target</x:v>
      </x:c>
      <x:c r="D29" s="90" t="n">
        <x:v>40</x:v>
      </x:c>
      <x:c r="E29" s="90" t="n">
        <x:v>10</x:v>
      </x:c>
      <x:c r="F29" s="90" t="n">
        <x:v>90</x:v>
      </x:c>
      <x:c r="G29" s="98" t="n">
        <x:v>0.24953333333333333</x:v>
      </x:c>
      <x:c r="H29" s="98" t="n">
        <x:v>0.5096833333333334</x:v>
      </x:c>
      <x:c r="I29" s="98" t="n">
        <x:v>0.85445</x:v>
      </x:c>
      <x:c r="J29" s="90" t="str">
        <x:v>Low</x:v>
      </x:c>
      <x:c r="K29" s="90" t="str">
        <x:v>Big Tech</x:v>
      </x:c>
      <x:c r="L29" s="90" t="str">
        <x:v>Data Science / Economics Intern</x:v>
      </x:c>
      <x:c r="M29" s="90" t="str">
        <x:v>Data Science</x:v>
      </x:c>
      <x:c r="N29" s="98" t="n">
        <x:v>0.82</x:v>
      </x:c>
      <x:c r="O29" s="90" t="str">
        <x:v>Likely workable; verify exact posting</x:v>
      </x:c>
      <x:c r="P29" s="98" t="n">
        <x:v>0.8685297289133147</x:v>
      </x:c>
      <x:c r="Q29" s="98" t="n">
        <x:v>0.34353152608876475</x:v>
      </x:c>
      <x:c r="R29" s="98" t="n">
        <x:v>0.4665939351170145</x:v>
      </x:c>
      <x:c r="S29" s="98" t="n">
        <x:v>0.05</x:v>
      </x:c>
      <x:c r="T29" s="98" t="n">
        <x:v>0.88</x:v>
      </x:c>
      <x:c r="U29" s="98" t="n">
        <x:v>0.5</x:v>
      </x:c>
      <x:c r="V29" s="98" t="n">
        <x:v>0.76</x:v>
      </x:c>
      <x:c r="W29" s="98" t="n">
        <x:v>0.870807453416149</x:v>
      </x:c>
      <x:c r="X29" s="90" t="str">
        <x:v>C</x:v>
      </x:c>
      <x:c r="Y29" s="90" t="n">
        <x:v>1</x:v>
      </x:c>
      <x:c r="Z29" s="90" t="str">
        <x:v>ALSAC data science, propensity modeling, DataRobot, Python/SQL and ML research form a clear progression. Marketplace/customer behavior is a direct extension of his growth and consumer analytics work.</x:v>
      </x:c>
      <x:c r="AA29" s="90" t="str">
        <x:v>Exact posting still controls CPT eligibility; Observed roles show graduate-degree skew; LinkedIn network evidence pending</x:v>
      </x:c>
      <x:c r="AB29" s="90" t="str">
        <x:v>2026: Data Science PhD Intern (graduate_only, exact)</x:v>
      </x:c>
      <x:c r="AC29" s="90" t="str">
        <x:v>https://raw.githubusercontent.com/SimplifyJobs/Summer2026-Internships/refs/heads/dev/README-Inactive.md</x:v>
      </x:c>
      <x:c r="AD29" s="90" t="str">
        <x:v>Sep-Nov 2026</x:v>
      </x:c>
      <x:c r="AE29" s="90" t="str">
        <x:v>https://instacart.careers/university-recruiting/</x:v>
      </x:c>
    </x:row>
    <x:row r="30" ht="54" customHeight="1">
      <x:c r="A30" s="90" t="n">
        <x:v>26</x:v>
      </x:c>
      <x:c r="B30" s="90" t="str">
        <x:v>Spotify</x:v>
      </x:c>
      <x:c r="C30" s="90" t="str">
        <x:v>Target</x:v>
      </x:c>
      <x:c r="D30" s="90" t="n">
        <x:v>41</x:v>
      </x:c>
      <x:c r="E30" s="90" t="n">
        <x:v>11</x:v>
      </x:c>
      <x:c r="F30" s="90" t="n">
        <x:v>90</x:v>
      </x:c>
      <x:c r="G30" s="98" t="n">
        <x:v>0.22708333333333333</x:v>
      </x:c>
      <x:c r="H30" s="98" t="n">
        <x:v>0.4926</x:v>
      </x:c>
      <x:c r="I30" s="98" t="n">
        <x:v>0.8531666666666666</x:v>
      </x:c>
      <x:c r="J30" s="90" t="str">
        <x:v>Low</x:v>
      </x:c>
      <x:c r="K30" s="90" t="str">
        <x:v>Big Tech</x:v>
      </x:c>
      <x:c r="L30" s="90" t="str">
        <x:v>Data Science Intern</x:v>
      </x:c>
      <x:c r="M30" s="90" t="str">
        <x:v>Data Science</x:v>
      </x:c>
      <x:c r="N30" s="98" t="n">
        <x:v>0.82</x:v>
      </x:c>
      <x:c r="O30" s="90" t="str">
        <x:v>Likely workable; verify exact posting</x:v>
      </x:c>
      <x:c r="P30" s="98" t="n">
        <x:v>0.7993309592368839</x:v>
      </x:c>
      <x:c r="Q30" s="98" t="n">
        <x:v>0.3155397282458927</x:v>
      </x:c>
      <x:c r="R30" s="98" t="n">
        <x:v>0.6033558152410012</x:v>
      </x:c>
      <x:c r="S30" s="98" t="n">
        <x:v>0.6258620689655172</x:v>
      </x:c>
      <x:c r="T30" s="98" t="n">
        <x:v>0.88</x:v>
      </x:c>
      <x:c r="U30" s="98" t="n">
        <x:v>0.5</x:v>
      </x:c>
      <x:c r="V30" s="98" t="n">
        <x:v>0.76</x:v>
      </x:c>
      <x:c r="W30" s="98" t="n">
        <x:v>0.8608695652173914</x:v>
      </x:c>
      <x:c r="X30" s="90" t="str">
        <x:v>C</x:v>
      </x:c>
      <x:c r="Y30" s="90" t="n">
        <x:v>2</x:v>
      </x:c>
      <x:c r="Z30" s="90" t="str">
        <x:v>ALSAC data science, propensity modeling, DataRobot, Python/SQL and ML research form a clear progression.</x:v>
      </x:c>
      <x:c r="AA30" s="90" t="str">
        <x:v>Exact posting still controls CPT eligibility; LinkedIn network evidence pending</x:v>
      </x:c>
      <x:c r="AB30" s="90" t="str">
        <x:v>2026: Research Scientist Intern (advanced_unknown, adjacent) | 2026: Engineering &amp; Data Science Intern (undergrad_unknown, exact)</x:v>
      </x:c>
      <x:c r="AC30" s="90" t="str">
        <x:v>https://raw.githubusercontent.com/SimplifyJobs/Summer2026-Internships/refs/heads/dev/README-Inactive.md</x:v>
      </x:c>
      <x:c r="AD30" s="90" t="str">
        <x:v>Sep-Nov 2026</x:v>
      </x:c>
      <x:c r="AE30" s="90" t="str">
        <x:v>https://www.lifeatspotify.com/students</x:v>
      </x:c>
    </x:row>
    <x:row r="31" ht="54" customHeight="1">
      <x:c r="A31" s="90" t="n">
        <x:v>27</x:v>
      </x:c>
      <x:c r="B31" s="90" t="str">
        <x:v>Lyft</x:v>
      </x:c>
      <x:c r="C31" s="90" t="str">
        <x:v>Target</x:v>
      </x:c>
      <x:c r="D31" s="90" t="n">
        <x:v>41</x:v>
      </x:c>
      <x:c r="E31" s="90" t="n">
        <x:v>10</x:v>
      </x:c>
      <x:c r="F31" s="90" t="n">
        <x:v>91</x:v>
      </x:c>
      <x:c r="G31" s="98" t="n">
        <x:v>0.24776666666666666</x:v>
      </x:c>
      <x:c r="H31" s="98" t="n">
        <x:v>0.49865</x:v>
      </x:c>
      <x:c r="I31" s="98" t="n">
        <x:v>0.8447666666666667</x:v>
      </x:c>
      <x:c r="J31" s="90" t="str">
        <x:v>Low</x:v>
      </x:c>
      <x:c r="K31" s="90" t="str">
        <x:v>Big Tech</x:v>
      </x:c>
      <x:c r="L31" s="90" t="str">
        <x:v>Data Science Intern</x:v>
      </x:c>
      <x:c r="M31" s="90" t="str">
        <x:v>Data Science</x:v>
      </x:c>
      <x:c r="N31" s="98" t="n">
        <x:v>0.82</x:v>
      </x:c>
      <x:c r="O31" s="90" t="str">
        <x:v>Likely workable; verify exact posting</x:v>
      </x:c>
      <x:c r="P31" s="98" t="n">
        <x:v>0.8458984706847374</x:v>
      </x:c>
      <x:c r="Q31" s="98" t="n">
        <x:v>0.6259898045649162</x:v>
      </x:c>
      <x:c r="R31" s="98" t="n">
        <x:v>0.588206815277534</x:v>
      </x:c>
      <x:c r="S31" s="98" t="n">
        <x:v>0.75</x:v>
      </x:c>
      <x:c r="T31" s="98" t="n">
        <x:v>0.88</x:v>
      </x:c>
      <x:c r="U31" s="98" t="n">
        <x:v>0.5</x:v>
      </x:c>
      <x:c r="V31" s="98" t="n">
        <x:v>0.76</x:v>
      </x:c>
      <x:c r="W31" s="98" t="n">
        <x:v>0.751552795031056</x:v>
      </x:c>
      <x:c r="X31" s="90" t="str">
        <x:v>C</x:v>
      </x:c>
      <x:c r="Y31" s="90" t="n">
        <x:v>1</x:v>
      </x:c>
      <x:c r="Z31" s="90" t="str">
        <x:v>ALSAC data science, propensity modeling, DataRobot, Python/SQL and ML research form a clear progression.</x:v>
      </x:c>
      <x:c r="AA31" s="90" t="str">
        <x:v>Exact posting still controls CPT eligibility; LinkedIn network evidence pending</x:v>
      </x:c>
      <x:c r="AB31" s="90" t="str">
        <x:v>2026: Data Analyst Intern (undergrad_unknown, exact)</x:v>
      </x:c>
      <x:c r="AC31" s="90" t="str">
        <x:v>https://raw.githubusercontent.com/SimplifyJobs/Summer2026-Internships/refs/heads/dev/README-Inactive.md</x:v>
      </x:c>
      <x:c r="AD31" s="90" t="str">
        <x:v>Sep-Nov 2026</x:v>
      </x:c>
      <x:c r="AE31" s="90" t="str">
        <x:v>https://www.lyft.com/careers/early-talent</x:v>
      </x:c>
    </x:row>
    <x:row r="32" ht="54" customHeight="1">
      <x:c r="A32" s="90" t="n">
        <x:v>28</x:v>
      </x:c>
      <x:c r="B32" s="90" t="str">
        <x:v>Adobe</x:v>
      </x:c>
      <x:c r="C32" s="90" t="str">
        <x:v>Target</x:v>
      </x:c>
      <x:c r="D32" s="90" t="n">
        <x:v>43</x:v>
      </x:c>
      <x:c r="E32" s="90" t="n">
        <x:v>11</x:v>
      </x:c>
      <x:c r="F32" s="90" t="n">
        <x:v>92</x:v>
      </x:c>
      <x:c r="G32" s="98" t="n">
        <x:v>0.22066666666666668</x:v>
      </x:c>
      <x:c r="H32" s="98" t="n">
        <x:v>0.47531666666666667</x:v>
      </x:c>
      <x:c r="I32" s="98" t="n">
        <x:v>0.8394833333333334</x:v>
      </x:c>
      <x:c r="J32" s="90" t="str">
        <x:v>Low</x:v>
      </x:c>
      <x:c r="K32" s="90" t="str">
        <x:v>Big Tech</x:v>
      </x:c>
      <x:c r="L32" s="90" t="str">
        <x:v>Data Science Intern</x:v>
      </x:c>
      <x:c r="M32" s="90" t="str">
        <x:v>Data Science</x:v>
      </x:c>
      <x:c r="N32" s="98" t="n">
        <x:v>0.82</x:v>
      </x:c>
      <x:c r="O32" s="90" t="str">
        <x:v>Likely workable; verify exact posting</x:v>
      </x:c>
      <x:c r="P32" s="98" t="n">
        <x:v>0.7826115321401064</x:v>
      </x:c>
      <x:c r="Q32" s="98" t="n">
        <x:v>0.2040768809340426</x:v>
      </x:c>
      <x:c r="R32" s="98" t="n">
        <x:v>0.6744721052575429</x:v>
      </x:c>
      <x:c r="S32" s="98" t="n">
        <x:v>0.7499999999999999</x:v>
      </x:c>
      <x:c r="T32" s="98" t="n">
        <x:v>0.92</x:v>
      </x:c>
      <x:c r="U32" s="98" t="n">
        <x:v>0.5</x:v>
      </x:c>
      <x:c r="V32" s="98" t="n">
        <x:v>0.76</x:v>
      </x:c>
      <x:c r="W32" s="98" t="n">
        <x:v>0.7366459627329192</x:v>
      </x:c>
      <x:c r="X32" s="90" t="str">
        <x:v>B</x:v>
      </x:c>
      <x:c r="Y32" s="90" t="n">
        <x:v>3</x:v>
      </x:c>
      <x:c r="Z32" s="90" t="str">
        <x:v>ALSAC data science, propensity modeling, DataRobot, Python/SQL and ML research form a clear progression.</x:v>
      </x:c>
      <x:c r="AA32" s="90" t="str">
        <x:v>Exact posting still controls CPT eligibility; LinkedIn network evidence pending</x:v>
      </x:c>
      <x:c r="AB32" s="90" t="str">
        <x:v>2025: Data Scientist Intern (undergrad_unknown, exact) | 2025: Emerging Technology Analyst Intern (undergrad_unknown, adjacent) | 2026: AI/ML Intern – Machine Learning Engineer (undergrad_unknown, adjacent)</x:v>
      </x:c>
      <x:c r="AC32" s="90" t="str">
        <x:v>https://raw.githubusercontent.com/SimplifyJobs/Summer2026-Internships/refs/heads/dev/README-Inactive.md | https://raw.githubusercontent.com/SimplifyJobs/Summer2026-Internships/refs/heads/dev/archived/README-2025.md</x:v>
      </x:c>
      <x:c r="AD32" s="90" t="str">
        <x:v>Aug-Sep 2026</x:v>
      </x:c>
      <x:c r="AE32" s="90" t="str">
        <x:v>https://www.adobe.com/careers/university.html</x:v>
      </x:c>
    </x:row>
    <x:row r="33" ht="54" customHeight="1">
      <x:c r="A33" s="90" t="n">
        <x:v>29</x:v>
      </x:c>
      <x:c r="B33" s="90" t="str">
        <x:v>Kroger / 84.51°</x:v>
      </x:c>
      <x:c r="C33" s="90" t="str">
        <x:v>Target</x:v>
      </x:c>
      <x:c r="D33" s="90" t="n">
        <x:v>44</x:v>
      </x:c>
      <x:c r="E33" s="90" t="n">
        <x:v>11</x:v>
      </x:c>
      <x:c r="F33" s="90" t="n">
        <x:v>96</x:v>
      </x:c>
      <x:c r="G33" s="98" t="n">
        <x:v>0.22401666666666667</x:v>
      </x:c>
      <x:c r="H33" s="98" t="n">
        <x:v>0.46565</x:v>
      </x:c>
      <x:c r="I33" s="98" t="n">
        <x:v>0.8181333333333334</x:v>
      </x:c>
      <x:c r="J33" s="90" t="str">
        <x:v>Low</x:v>
      </x:c>
      <x:c r="K33" s="90" t="str">
        <x:v>Retail/Data</x:v>
      </x:c>
      <x:c r="L33" s="90" t="str">
        <x:v>Data Science Intern (84.51°)</x:v>
      </x:c>
      <x:c r="M33" s="90" t="str">
        <x:v>Data Science</x:v>
      </x:c>
      <x:c r="N33" s="98" t="n">
        <x:v>0.82</x:v>
      </x:c>
      <x:c r="O33" s="90" t="str">
        <x:v>Likely workable; verify exact posting</x:v>
      </x:c>
      <x:c r="P33" s="98" t="n">
        <x:v>0.831254410805069</x:v>
      </x:c>
      <x:c r="Q33" s="98" t="n">
        <x:v>0.09502940536712655</x:v>
      </x:c>
      <x:c r="R33" s="98" t="n">
        <x:v>0.545</x:v>
      </x:c>
      <x:c r="S33" s="98" t="n">
        <x:v>0.5</x:v>
      </x:c>
      <x:c r="T33" s="98" t="n">
        <x:v>0.8</x:v>
      </x:c>
      <x:c r="U33" s="98" t="n">
        <x:v>0.5</x:v>
      </x:c>
      <x:c r="V33" s="98" t="n">
        <x:v>0.76</x:v>
      </x:c>
      <x:c r="W33" s="98" t="n">
        <x:v>0.9006211180124224</x:v>
      </x:c>
      <x:c r="X33" s="90" t="str">
        <x:v>D</x:v>
      </x:c>
      <x:c r="Y33" s="90" t="n">
        <x:v>0</x:v>
      </x:c>
      <x:c r="Z33" s="90" t="str">
        <x:v>ALSAC data science, propensity modeling, DataRobot, Python/SQL and ML research form a clear progression. Consumer insights and segmentation are especially aligned with his prior work.</x:v>
      </x:c>
      <x:c r="AA33" s="90" t="str">
        <x:v>Exact posting still controls CPT eligibility; Observed roles show graduate-degree skew; No matching public role found in reviewed trackers; LinkedIn network evidence pending</x:v>
      </x:c>
      <x:c r="AB33" s="90" t="str">
        <x:v>No matching role found in reviewed public trackers; treated as missing evidence, not a negative.</x:v>
      </x:c>
      <x:c r="AC33" s="90" t="str"/>
      <x:c r="AD33" s="90" t="str">
        <x:v>Sep-Nov 2026</x:v>
      </x:c>
      <x:c r="AE33" s="90" t="str">
        <x:v>https://www.8451.com/careers</x:v>
      </x:c>
    </x:row>
    <x:row r="34" ht="54" customHeight="1">
      <x:c r="A34" s="90" t="n">
        <x:v>30</x:v>
      </x:c>
      <x:c r="B34" s="90" t="str">
        <x:v>Snap</x:v>
      </x:c>
      <x:c r="C34" s="90" t="str">
        <x:v>Target</x:v>
      </x:c>
      <x:c r="D34" s="90" t="n">
        <x:v>45</x:v>
      </x:c>
      <x:c r="E34" s="90" t="n">
        <x:v>12</x:v>
      </x:c>
      <x:c r="F34" s="90" t="n">
        <x:v>94</x:v>
      </x:c>
      <x:c r="G34" s="98" t="n">
        <x:v>0.20236666666666667</x:v>
      </x:c>
      <x:c r="H34" s="98" t="n">
        <x:v>0.4508666666666667</x:v>
      </x:c>
      <x:c r="I34" s="98" t="n">
        <x:v>0.8217833333333333</x:v>
      </x:c>
      <x:c r="J34" s="90" t="str">
        <x:v>Low</x:v>
      </x:c>
      <x:c r="K34" s="90" t="str">
        <x:v>Big Tech</x:v>
      </x:c>
      <x:c r="L34" s="90" t="str">
        <x:v>Data Science Intern</x:v>
      </x:c>
      <x:c r="M34" s="90" t="str">
        <x:v>Data Science</x:v>
      </x:c>
      <x:c r="N34" s="98" t="n">
        <x:v>0.82</x:v>
      </x:c>
      <x:c r="O34" s="90" t="str">
        <x:v>Likely workable; verify exact posting</x:v>
      </x:c>
      <x:c r="P34" s="98" t="n">
        <x:v>0.8127524339538013</x:v>
      </x:c>
      <x:c r="Q34" s="98" t="n">
        <x:v>0.4050162263586755</x:v>
      </x:c>
      <x:c r="R34" s="98" t="n">
        <x:v>0.637806861595086</x:v>
      </x:c>
      <x:c r="S34" s="98" t="n">
        <x:v>0.75</x:v>
      </x:c>
      <x:c r="T34" s="98" t="n">
        <x:v>0.88</x:v>
      </x:c>
      <x:c r="U34" s="98" t="n">
        <x:v>0.5</x:v>
      </x:c>
      <x:c r="V34" s="98" t="n">
        <x:v>0.76</x:v>
      </x:c>
      <x:c r="W34" s="98" t="n">
        <x:v>0.7118012422360248</x:v>
      </x:c>
      <x:c r="X34" s="90" t="str">
        <x:v>C</x:v>
      </x:c>
      <x:c r="Y34" s="90" t="n">
        <x:v>2</x:v>
      </x:c>
      <x:c r="Z34" s="90" t="str">
        <x:v>ALSAC data science, propensity modeling, DataRobot, Python/SQL and ML research form a clear progression.</x:v>
      </x:c>
      <x:c r="AA34" s="90" t="str">
        <x:v>Exact posting still controls CPT eligibility; LinkedIn network evidence pending</x:v>
      </x:c>
      <x:c r="AB34" s="90" t="str">
        <x:v>2026: Machine Learning Engineer Intern (undergrad_unknown, adjacent) | 2026: Product Analyst Intern (undergrad_unknown, exact)</x:v>
      </x:c>
      <x:c r="AC34" s="90" t="str">
        <x:v>https://raw.githubusercontent.com/SimplifyJobs/Summer2026-Internships/refs/heads/dev/README-Inactive.md</x:v>
      </x:c>
      <x:c r="AD34" s="90" t="str">
        <x:v>Sep-Nov 2026</x:v>
      </x:c>
      <x:c r="AE34" s="90" t="str">
        <x:v>https://careers.snap.com/university</x:v>
      </x:c>
    </x:row>
    <x:row r="35" ht="54" customHeight="1">
      <x:c r="A35" s="90" t="n">
        <x:v>31</x:v>
      </x:c>
      <x:c r="B35" s="90" t="str">
        <x:v>Visa</x:v>
      </x:c>
      <x:c r="C35" s="90" t="str">
        <x:v>Target</x:v>
      </x:c>
      <x:c r="D35" s="90" t="n">
        <x:v>45</x:v>
      </x:c>
      <x:c r="E35" s="90" t="n">
        <x:v>12</x:v>
      </x:c>
      <x:c r="F35" s="90" t="n">
        <x:v>94</x:v>
      </x:c>
      <x:c r="G35" s="98" t="n">
        <x:v>0.20218333333333333</x:v>
      </x:c>
      <x:c r="H35" s="98" t="n">
        <x:v>0.4504166666666667</x:v>
      </x:c>
      <x:c r="I35" s="98" t="n">
        <x:v>0.8212</x:v>
      </x:c>
      <x:c r="J35" s="90" t="str">
        <x:v>Low</x:v>
      </x:c>
      <x:c r="K35" s="90" t="str">
        <x:v>Finance/Tech</x:v>
      </x:c>
      <x:c r="L35" s="90" t="str">
        <x:v>Data Science Intern</x:v>
      </x:c>
      <x:c r="M35" s="90" t="str">
        <x:v>Data Science</x:v>
      </x:c>
      <x:c r="N35" s="98" t="n">
        <x:v>0.82</x:v>
      </x:c>
      <x:c r="O35" s="90" t="str">
        <x:v>Likely workable; verify exact posting</x:v>
      </x:c>
      <x:c r="P35" s="98" t="n">
        <x:v>0.8442445094771538</x:v>
      </x:c>
      <x:c r="Q35" s="98" t="n">
        <x:v>0.08163006318102428</x:v>
      </x:c>
      <x:c r="R35" s="98" t="n">
        <x:v>0.5998791939271991</x:v>
      </x:c>
      <x:c r="S35" s="98" t="n">
        <x:v>0.75</x:v>
      </x:c>
      <x:c r="T35" s="98" t="n">
        <x:v>0.92</x:v>
      </x:c>
      <x:c r="U35" s="98" t="n">
        <x:v>0.5</x:v>
      </x:c>
      <x:c r="V35" s="98" t="n">
        <x:v>0.76</x:v>
      </x:c>
      <x:c r="W35" s="98" t="n">
        <x:v>0.6322981366459628</x:v>
      </x:c>
      <x:c r="X35" s="90" t="str">
        <x:v>C</x:v>
      </x:c>
      <x:c r="Y35" s="90" t="n">
        <x:v>2</x:v>
      </x:c>
      <x:c r="Z35" s="90" t="str">
        <x:v>ALSAC data science, propensity modeling, DataRobot, Python/SQL and ML research form a clear progression. Payments and consumer-spend analytics closely match his consumer-behavior and segmentation experience.</x:v>
      </x:c>
      <x:c r="AA35" s="90" t="str">
        <x:v>Exact posting still controls CPT eligibility; LinkedIn network evidence pending</x:v>
      </x:c>
      <x:c r="AB35" s="90" t="str">
        <x:v>2025: Associate Data Scientist Intern – Cybersecurity (undergrad_unknown, adjacent) | 2025: Data Storage Intern (undergrad_unknown, adjacent)</x:v>
      </x:c>
      <x:c r="AC35" s="90" t="str">
        <x:v>https://raw.githubusercontent.com/SimplifyJobs/Summer2026-Internships/refs/heads/dev/archived/README-2025.md</x:v>
      </x:c>
      <x:c r="AD35" s="90" t="str">
        <x:v>Aug-Oct 2026</x:v>
      </x:c>
      <x:c r="AE35" s="90" t="str">
        <x:v>https://corporate.visa.com/en/jobs/students.html</x:v>
      </x:c>
    </x:row>
    <x:row r="36" ht="54" customHeight="1">
      <x:c r="A36" s="90" t="n">
        <x:v>32</x:v>
      </x:c>
      <x:c r="B36" s="90" t="str">
        <x:v>Pinterest</x:v>
      </x:c>
      <x:c r="C36" s="90" t="str">
        <x:v>Target</x:v>
      </x:c>
      <x:c r="D36" s="90" t="n">
        <x:v>45</x:v>
      </x:c>
      <x:c r="E36" s="90" t="n">
        <x:v>12</x:v>
      </x:c>
      <x:c r="F36" s="90" t="n">
        <x:v>95</x:v>
      </x:c>
      <x:c r="G36" s="98" t="n">
        <x:v>0.20165</x:v>
      </x:c>
      <x:c r="H36" s="98" t="n">
        <x:v>0.4475166666666667</x:v>
      </x:c>
      <x:c r="I36" s="98" t="n">
        <x:v>0.8170833333333334</x:v>
      </x:c>
      <x:c r="J36" s="90" t="str">
        <x:v>Low</x:v>
      </x:c>
      <x:c r="K36" s="90" t="str">
        <x:v>Big Tech</x:v>
      </x:c>
      <x:c r="L36" s="90" t="str">
        <x:v>Data Science Intern</x:v>
      </x:c>
      <x:c r="M36" s="90" t="str">
        <x:v>Data Science</x:v>
      </x:c>
      <x:c r="N36" s="98" t="n">
        <x:v>0.82</x:v>
      </x:c>
      <x:c r="O36" s="90" t="str">
        <x:v>Likely workable; verify exact posting</x:v>
      </x:c>
      <x:c r="P36" s="98" t="n">
        <x:v>0.796581282306414</x:v>
      </x:c>
      <x:c r="Q36" s="98" t="n">
        <x:v>0.2972085487094266</x:v>
      </x:c>
      <x:c r="R36" s="98" t="n">
        <x:v>0.565650929123398</x:v>
      </x:c>
      <x:c r="S36" s="98" t="n">
        <x:v>0.75</x:v>
      </x:c>
      <x:c r="T36" s="98" t="n">
        <x:v>0.88</x:v>
      </x:c>
      <x:c r="U36" s="98" t="n">
        <x:v>0.5</x:v>
      </x:c>
      <x:c r="V36" s="98" t="n">
        <x:v>0.76</x:v>
      </x:c>
      <x:c r="W36" s="98" t="n">
        <x:v>0.8559006211180125</x:v>
      </x:c>
      <x:c r="X36" s="90" t="str">
        <x:v>C</x:v>
      </x:c>
      <x:c r="Y36" s="90" t="n">
        <x:v>1</x:v>
      </x:c>
      <x:c r="Z36" s="90" t="str">
        <x:v>ALSAC data science, propensity modeling, DataRobot, Python/SQL and ML research form a clear progression.</x:v>
      </x:c>
      <x:c r="AA36" s="90" t="str">
        <x:v>Exact posting still controls CPT eligibility; LinkedIn network evidence pending</x:v>
      </x:c>
      <x:c r="AB36" s="90" t="str">
        <x:v>2026: UX Quantitative Research Intern (undergrad_unknown, adjacent)</x:v>
      </x:c>
      <x:c r="AC36" s="90" t="str">
        <x:v>https://raw.githubusercontent.com/SimplifyJobs/Summer2026-Internships/refs/heads/dev/README-Inactive.md</x:v>
      </x:c>
      <x:c r="AD36" s="90" t="str">
        <x:v>Sep-Nov 2026</x:v>
      </x:c>
      <x:c r="AE36" s="90" t="str">
        <x:v>https://www.pinterestcareers.com/en/students/</x:v>
      </x:c>
    </x:row>
    <x:row r="37" ht="54" customHeight="1">
      <x:c r="A37" s="90" t="n">
        <x:v>33</x:v>
      </x:c>
      <x:c r="B37" s="90" t="str">
        <x:v>Microsoft</x:v>
      </x:c>
      <x:c r="C37" s="90" t="str">
        <x:v>Target</x:v>
      </x:c>
      <x:c r="D37" s="90" t="n">
        <x:v>46</x:v>
      </x:c>
      <x:c r="E37" s="90" t="n">
        <x:v>16</x:v>
      </x:c>
      <x:c r="F37" s="90" t="n">
        <x:v>87</x:v>
      </x:c>
      <x:c r="G37" s="98" t="n">
        <x:v>0.15316666666666667</x:v>
      </x:c>
      <x:c r="H37" s="98" t="n">
        <x:v>0.4234833333333333</x:v>
      </x:c>
      <x:c r="I37" s="98" t="n">
        <x:v>0.8580666666666666</x:v>
      </x:c>
      <x:c r="J37" s="90" t="str">
        <x:v>Low</x:v>
      </x:c>
      <x:c r="K37" s="90" t="str">
        <x:v>Big Tech</x:v>
      </x:c>
      <x:c r="L37" s="90" t="str">
        <x:v>Data Science Intern</x:v>
      </x:c>
      <x:c r="M37" s="90" t="str">
        <x:v>Data Science</x:v>
      </x:c>
      <x:c r="N37" s="98" t="n">
        <x:v>0.9</x:v>
      </x:c>
      <x:c r="O37" s="90" t="str">
        <x:v>Strong historical/declared CPT evidence</x:v>
      </x:c>
      <x:c r="P37" s="98" t="n">
        <x:v>0.8336897139593189</x:v>
      </x:c>
      <x:c r="Q37" s="98" t="n">
        <x:v>0.544598093062126</x:v>
      </x:c>
      <x:c r="R37" s="98" t="n">
        <x:v>0.5172811862939054</x:v>
      </x:c>
      <x:c r="S37" s="98" t="n">
        <x:v>0.39999999999999997</x:v>
      </x:c>
      <x:c r="T37" s="98" t="n">
        <x:v>0.92</x:v>
      </x:c>
      <x:c r="U37" s="98" t="n">
        <x:v>0.5</x:v>
      </x:c>
      <x:c r="V37" s="98" t="n">
        <x:v>0.76</x:v>
      </x:c>
      <x:c r="W37" s="98" t="n">
        <x:v>0.5329192546583851</x:v>
      </x:c>
      <x:c r="X37" s="90" t="str">
        <x:v>C</x:v>
      </x:c>
      <x:c r="Y37" s="90" t="n">
        <x:v>2</x:v>
      </x:c>
      <x:c r="Z37" s="90" t="str">
        <x:v>ALSAC data science, propensity modeling, DataRobot, Python/SQL and ML research form a clear progression.</x:v>
      </x:c>
      <x:c r="AA37" s="90" t="str">
        <x:v>Exact posting still controls CPT eligibility; Observed roles show graduate-degree skew; LinkedIn network evidence pending</x:v>
      </x:c>
      <x:c r="AB37" s="90" t="str">
        <x:v>2026: Research Intern (undergrad_or_grad_unknown, adjacent) | 2026: Research Intern – Microsoft Research AI Frontiers (advanced_unknown, adjacent)</x:v>
      </x:c>
      <x:c r="AC37" s="90" t="str">
        <x:v>https://raw.githubusercontent.com/SimplifyJobs/Summer2026-Internships/refs/heads/dev/README-Inactive.md | https://raw.githubusercontent.com/SimplifyJobs/Summer2026-Internships/refs/heads/dev/README.md</x:v>
      </x:c>
      <x:c r="AD37" s="90" t="str">
        <x:v>Opens ~Aug 15, 2026 (last cycle's date).</x:v>
      </x:c>
      <x:c r="AE37" s="90" t="str">
        <x:v>https://careers.microsoft.com/v2/global/en/students</x:v>
      </x:c>
    </x:row>
    <x:row r="38" ht="54" customHeight="1">
      <x:c r="A38" s="90" t="n">
        <x:v>34</x:v>
      </x:c>
      <x:c r="B38" s="90" t="str">
        <x:v>Atlassian</x:v>
      </x:c>
      <x:c r="C38" s="90" t="str">
        <x:v>Target</x:v>
      </x:c>
      <x:c r="D38" s="90" t="n">
        <x:v>46</x:v>
      </x:c>
      <x:c r="E38" s="90" t="n">
        <x:v>11</x:v>
      </x:c>
      <x:c r="F38" s="90" t="n">
        <x:v>99</x:v>
      </x:c>
      <x:c r="G38" s="98" t="n">
        <x:v>0.20723333333333332</x:v>
      </x:c>
      <x:c r="H38" s="98" t="n">
        <x:v>0.43785</x:v>
      </x:c>
      <x:c r="I38" s="98" t="n">
        <x:v>0.7947166666666666</x:v>
      </x:c>
      <x:c r="J38" s="90" t="str">
        <x:v>Low</x:v>
      </x:c>
      <x:c r="K38" s="90" t="str">
        <x:v>Big Tech</x:v>
      </x:c>
      <x:c r="L38" s="90" t="str">
        <x:v>Data Science Intern</x:v>
      </x:c>
      <x:c r="M38" s="90" t="str">
        <x:v>Data Science</x:v>
      </x:c>
      <x:c r="N38" s="98" t="n">
        <x:v>0.82</x:v>
      </x:c>
      <x:c r="O38" s="90" t="str">
        <x:v>Likely workable; verify exact posting</x:v>
      </x:c>
      <x:c r="P38" s="98" t="n">
        <x:v>0.8667079075710682</x:v>
      </x:c>
      <x:c r="Q38" s="98" t="n">
        <x:v>0.7647193838071218</x:v>
      </x:c>
      <x:c r="R38" s="98" t="n">
        <x:v>0.545</x:v>
      </x:c>
      <x:c r="S38" s="98" t="n">
        <x:v>0.5</x:v>
      </x:c>
      <x:c r="T38" s="98" t="n">
        <x:v>0.88</x:v>
      </x:c>
      <x:c r="U38" s="98" t="n">
        <x:v>0.5</x:v>
      </x:c>
      <x:c r="V38" s="98" t="n">
        <x:v>0.76</x:v>
      </x:c>
      <x:c r="W38" s="98" t="n">
        <x:v>0.6670807453416149</x:v>
      </x:c>
      <x:c r="X38" s="90" t="str">
        <x:v>D</x:v>
      </x:c>
      <x:c r="Y38" s="90" t="n">
        <x:v>0</x:v>
      </x:c>
      <x:c r="Z38" s="90" t="str">
        <x:v>ALSAC data science, propensity modeling, DataRobot, Python/SQL and ML research form a clear progression.</x:v>
      </x:c>
      <x:c r="AA38" s="90" t="str">
        <x:v>Exact posting still controls CPT eligibility; Observed roles show graduate-degree skew; No matching public role found in reviewed trackers; LinkedIn network evidence pending</x:v>
      </x:c>
      <x:c r="AB38" s="90" t="str">
        <x:v>No matching role found in reviewed public trackers; treated as missing evidence, not a negative.</x:v>
      </x:c>
      <x:c r="AC38" s="90" t="str"/>
      <x:c r="AD38" s="90" t="str">
        <x:v>Sep-Nov 2026</x:v>
      </x:c>
      <x:c r="AE38" s="90" t="str">
        <x:v>https://www.atlassian.com/company/careers/students</x:v>
      </x:c>
    </x:row>
    <x:row r="39" ht="54" customHeight="1">
      <x:c r="A39" s="90" t="n">
        <x:v>35</x:v>
      </x:c>
      <x:c r="B39" s="90" t="str">
        <x:v>Reddit</x:v>
      </x:c>
      <x:c r="C39" s="90" t="str">
        <x:v>Target</x:v>
      </x:c>
      <x:c r="D39" s="90" t="n">
        <x:v>46</x:v>
      </x:c>
      <x:c r="E39" s="90" t="n">
        <x:v>11</x:v>
      </x:c>
      <x:c r="F39" s="90" t="n">
        <x:v>99</x:v>
      </x:c>
      <x:c r="G39" s="98" t="n">
        <x:v>0.20826666666666666</x:v>
      </x:c>
      <x:c r="H39" s="98" t="n">
        <x:v>0.4377666666666667</x:v>
      </x:c>
      <x:c r="I39" s="98" t="n">
        <x:v>0.79585</x:v>
      </x:c>
      <x:c r="J39" s="90" t="str">
        <x:v>Low</x:v>
      </x:c>
      <x:c r="K39" s="90" t="str">
        <x:v>Big Tech</x:v>
      </x:c>
      <x:c r="L39" s="90" t="str">
        <x:v>Data Science Intern</x:v>
      </x:c>
      <x:c r="M39" s="90" t="str">
        <x:v>Data Science</x:v>
      </x:c>
      <x:c r="N39" s="98" t="n">
        <x:v>0.82</x:v>
      </x:c>
      <x:c r="O39" s="90" t="str">
        <x:v>Likely workable; verify exact posting</x:v>
      </x:c>
      <x:c r="P39" s="98" t="n">
        <x:v>0.8667079075710682</x:v>
      </x:c>
      <x:c r="Q39" s="98" t="n">
        <x:v>0.7647193838071218</x:v>
      </x:c>
      <x:c r="R39" s="98" t="n">
        <x:v>0.545</x:v>
      </x:c>
      <x:c r="S39" s="98" t="n">
        <x:v>0.5</x:v>
      </x:c>
      <x:c r="T39" s="98" t="n">
        <x:v>0.88</x:v>
      </x:c>
      <x:c r="U39" s="98" t="n">
        <x:v>0.5</x:v>
      </x:c>
      <x:c r="V39" s="98" t="n">
        <x:v>0.76</x:v>
      </x:c>
      <x:c r="W39" s="98" t="n">
        <x:v>0.662111801242236</x:v>
      </x:c>
      <x:c r="X39" s="90" t="str">
        <x:v>D</x:v>
      </x:c>
      <x:c r="Y39" s="90" t="n">
        <x:v>0</x:v>
      </x:c>
      <x:c r="Z39" s="90" t="str">
        <x:v>ALSAC data science, propensity modeling, DataRobot, Python/SQL and ML research form a clear progression.</x:v>
      </x:c>
      <x:c r="AA39" s="90" t="str">
        <x:v>Exact posting still controls CPT eligibility; Observed roles show graduate-degree skew; No matching public role found in reviewed trackers; LinkedIn network evidence pending</x:v>
      </x:c>
      <x:c r="AB39" s="90" t="str">
        <x:v>No matching role found in reviewed public trackers; treated as missing evidence, not a negative.</x:v>
      </x:c>
      <x:c r="AC39" s="90" t="str"/>
      <x:c r="AD39" s="90" t="str">
        <x:v>Oct-Dec 2026</x:v>
      </x:c>
      <x:c r="AE39" s="90" t="str">
        <x:v>https://redditinc.com/careers</x:v>
      </x:c>
    </x:row>
    <x:row r="40" ht="54" customHeight="1">
      <x:c r="A40" s="90" t="n">
        <x:v>36</x:v>
      </x:c>
      <x:c r="B40" s="90" t="str">
        <x:v>Uber</x:v>
      </x:c>
      <x:c r="C40" s="90" t="str">
        <x:v>Target</x:v>
      </x:c>
      <x:c r="D40" s="90" t="n">
        <x:v>47</x:v>
      </x:c>
      <x:c r="E40" s="90" t="n">
        <x:v>13</x:v>
      </x:c>
      <x:c r="F40" s="90" t="n">
        <x:v>95</x:v>
      </x:c>
      <x:c r="G40" s="98" t="n">
        <x:v>0.18186666666666668</x:v>
      </x:c>
      <x:c r="H40" s="98" t="n">
        <x:v>0.42451666666666665</x:v>
      </x:c>
      <x:c r="I40" s="98" t="n">
        <x:v>0.8121833333333334</x:v>
      </x:c>
      <x:c r="J40" s="90" t="str">
        <x:v>Low</x:v>
      </x:c>
      <x:c r="K40" s="90" t="str">
        <x:v>Big Tech</x:v>
      </x:c>
      <x:c r="L40" s="90" t="str">
        <x:v>Data Science Intern</x:v>
      </x:c>
      <x:c r="M40" s="90" t="str">
        <x:v>Data Science</x:v>
      </x:c>
      <x:c r="N40" s="98" t="n">
        <x:v>0.82</x:v>
      </x:c>
      <x:c r="O40" s="90" t="str">
        <x:v>Likely workable; verify exact posting</x:v>
      </x:c>
      <x:c r="P40" s="98" t="n">
        <x:v>0.8655452182684188</x:v>
      </x:c>
      <x:c r="Q40" s="98" t="n">
        <x:v>0.3236347884561249</x:v>
      </x:c>
      <x:c r="R40" s="98" t="n">
        <x:v>0.7196875</x:v>
      </x:c>
      <x:c r="S40" s="98" t="n">
        <x:v>0.61</x:v>
      </x:c>
      <x:c r="T40" s="98" t="n">
        <x:v>0.88</x:v>
      </x:c>
      <x:c r="U40" s="98" t="n">
        <x:v>0.5</x:v>
      </x:c>
      <x:c r="V40" s="98" t="n">
        <x:v>0.76</x:v>
      </x:c>
      <x:c r="W40" s="98" t="n">
        <x:v>0.4434782608695652</x:v>
      </x:c>
      <x:c r="X40" s="90" t="str">
        <x:v>B</x:v>
      </x:c>
      <x:c r="Y40" s="90" t="n">
        <x:v>5</x:v>
      </x:c>
      <x:c r="Z40" s="90" t="str">
        <x:v>ALSAC data science, propensity modeling, DataRobot, Python/SQL and ML research form a clear progression. Marketplace/customer behavior is a direct extension of his growth and consumer analytics work.</x:v>
      </x:c>
      <x:c r="AA40" s="90" t="str">
        <x:v>Exact posting still controls CPT eligibility; LinkedIn network evidence pending</x:v>
      </x:c>
      <x:c r="AB40" s="90" t="str">
        <x:v>2025: Data Science Internship – Safety Identity Science (undergrad_unknown, exact) | 2025: Data Science Internship – Earner Actioning (undergrad_unknown, exact) | 2025: Data Science Internship – Risk (undergrad_unknown, exact) | 2025: Data Science Internship – Customer Obsession (undergrad_unknown, exact) | 2026: Scientist Intern – Grocery &amp; Retail Growth (phd_only, exact)</x:v>
      </x:c>
      <x:c r="AC40" s="90" t="str">
        <x:v>https://raw.githubusercontent.com/SimplifyJobs/Summer2026-Internships/refs/heads/dev/README-Inactive.md | https://raw.githubusercontent.com/SimplifyJobs/Summer2026-Internships/refs/heads/dev/archived/README-2025.md</x:v>
      </x:c>
      <x:c r="AD40" s="90" t="str">
        <x:v>Sep-Oct 2026</x:v>
      </x:c>
      <x:c r="AE40" s="90" t="str">
        <x:v>https://www.uber.com/us/en/careers/teams/university/</x:v>
      </x:c>
    </x:row>
    <x:row r="41" ht="54" customHeight="1">
      <x:c r="A41" s="90" t="n">
        <x:v>37</x:v>
      </x:c>
      <x:c r="B41" s="90" t="str">
        <x:v>Duolingo</x:v>
      </x:c>
      <x:c r="C41" s="90" t="str">
        <x:v>Target</x:v>
      </x:c>
      <x:c r="D41" s="90" t="n">
        <x:v>47</x:v>
      </x:c>
      <x:c r="E41" s="90" t="n">
        <x:v>11</x:v>
      </x:c>
      <x:c r="F41" s="90" t="n">
        <x:v>100</x:v>
      </x:c>
      <x:c r="G41" s="98" t="n">
        <x:v>0.20178333333333334</x:v>
      </x:c>
      <x:c r="H41" s="98" t="n">
        <x:v>0.4306333333333333</x:v>
      </x:c>
      <x:c r="I41" s="98" t="n">
        <x:v>0.7912</x:v>
      </x:c>
      <x:c r="J41" s="90" t="str">
        <x:v>Low</x:v>
      </x:c>
      <x:c r="K41" s="90" t="str">
        <x:v>Big Tech</x:v>
      </x:c>
      <x:c r="L41" s="90" t="str">
        <x:v>Data Science Intern</x:v>
      </x:c>
      <x:c r="M41" s="90" t="str">
        <x:v>Data Science</x:v>
      </x:c>
      <x:c r="N41" s="98" t="n">
        <x:v>0.82</x:v>
      </x:c>
      <x:c r="O41" s="90" t="str">
        <x:v>Likely workable; verify exact posting</x:v>
      </x:c>
      <x:c r="P41" s="98" t="n">
        <x:v>0.8667079075710682</x:v>
      </x:c>
      <x:c r="Q41" s="98" t="n">
        <x:v>0.7647193838071218</x:v>
      </x:c>
      <x:c r="R41" s="98" t="n">
        <x:v>0.545</x:v>
      </x:c>
      <x:c r="S41" s="98" t="n">
        <x:v>0.5</x:v>
      </x:c>
      <x:c r="T41" s="98" t="n">
        <x:v>0.88</x:v>
      </x:c>
      <x:c r="U41" s="98" t="n">
        <x:v>0.5</x:v>
      </x:c>
      <x:c r="V41" s="98" t="n">
        <x:v>0.76</x:v>
      </x:c>
      <x:c r="W41" s="98" t="n">
        <x:v>0.6571428571428571</x:v>
      </x:c>
      <x:c r="X41" s="90" t="str">
        <x:v>D</x:v>
      </x:c>
      <x:c r="Y41" s="90" t="n">
        <x:v>0</x:v>
      </x:c>
      <x:c r="Z41" s="90" t="str">
        <x:v>ALSAC data science, propensity modeling, DataRobot, Python/SQL and ML research form a clear progression.</x:v>
      </x:c>
      <x:c r="AA41" s="90" t="str">
        <x:v>Exact posting still controls CPT eligibility; Observed roles show graduate-degree skew; No matching public role found in reviewed trackers; LinkedIn network evidence pending</x:v>
      </x:c>
      <x:c r="AB41" s="90" t="str">
        <x:v>No matching role found in reviewed public trackers; treated as missing evidence, not a negative.</x:v>
      </x:c>
      <x:c r="AC41" s="90" t="str"/>
      <x:c r="AD41" s="90" t="str">
        <x:v>Sep-Oct 2026</x:v>
      </x:c>
      <x:c r="AE41" s="90" t="str">
        <x:v>https://careers.duolingo.com/students</x:v>
      </x:c>
    </x:row>
    <x:row r="42" ht="54" customHeight="1">
      <x:c r="A42" s="90" t="n">
        <x:v>38</x:v>
      </x:c>
      <x:c r="B42" s="90" t="str">
        <x:v>LinkedIn</x:v>
      </x:c>
      <x:c r="C42" s="90" t="str">
        <x:v>Target</x:v>
      </x:c>
      <x:c r="D42" s="90" t="n">
        <x:v>48</x:v>
      </x:c>
      <x:c r="E42" s="90" t="n">
        <x:v>14</x:v>
      </x:c>
      <x:c r="F42" s="90" t="n">
        <x:v>98</x:v>
      </x:c>
      <x:c r="G42" s="98" t="n">
        <x:v>0.17296666666666666</x:v>
      </x:c>
      <x:c r="H42" s="98" t="n">
        <x:v>0.41205</x:v>
      </x:c>
      <x:c r="I42" s="98" t="n">
        <x:v>0.7967</x:v>
      </x:c>
      <x:c r="J42" s="90" t="str">
        <x:v>Low</x:v>
      </x:c>
      <x:c r="K42" s="90" t="str">
        <x:v>Big Tech</x:v>
      </x:c>
      <x:c r="L42" s="90" t="str">
        <x:v>Data Science Intern</x:v>
      </x:c>
      <x:c r="M42" s="90" t="str">
        <x:v>Data Science</x:v>
      </x:c>
      <x:c r="N42" s="98" t="n">
        <x:v>0.82</x:v>
      </x:c>
      <x:c r="O42" s="90" t="str">
        <x:v>Likely workable; verify exact posting</x:v>
      </x:c>
      <x:c r="P42" s="98" t="n">
        <x:v>0.8405871094444588</x:v>
      </x:c>
      <x:c r="Q42" s="98" t="n">
        <x:v>0.5905807296297249</x:v>
      </x:c>
      <x:c r="R42" s="98" t="n">
        <x:v>0.5034354911877289</x:v>
      </x:c>
      <x:c r="S42" s="98" t="n">
        <x:v>0.25</x:v>
      </x:c>
      <x:c r="T42" s="98" t="n">
        <x:v>0.92</x:v>
      </x:c>
      <x:c r="U42" s="98" t="n">
        <x:v>0.5</x:v>
      </x:c>
      <x:c r="V42" s="98" t="n">
        <x:v>0.76</x:v>
      </x:c>
      <x:c r="W42" s="98" t="n">
        <x:v>0.7167701863354037</x:v>
      </x:c>
      <x:c r="X42" s="90" t="str">
        <x:v>C</x:v>
      </x:c>
      <x:c r="Y42" s="90" t="n">
        <x:v>2</x:v>
      </x:c>
      <x:c r="Z42" s="90" t="str">
        <x:v>ALSAC data science, propensity modeling, DataRobot, Python/SQL and ML research form a clear progression.</x:v>
      </x:c>
      <x:c r="AA42" s="90" t="str">
        <x:v>Exact posting still controls CPT eligibility; Observed roles show graduate-degree skew; LinkedIn network evidence pending</x:v>
      </x:c>
      <x:c r="AB42" s="90" t="str">
        <x:v>2026: Strategy &amp; Insights – Data Science Intern (masters_only, exact) | 2026: Applied Science – Data Science Intern (phd_only, exact)</x:v>
      </x:c>
      <x:c r="AC42" s="90" t="str">
        <x:v>https://raw.githubusercontent.com/SimplifyJobs/Summer2026-Internships/refs/heads/dev/README-Inactive.md</x:v>
      </x:c>
      <x:c r="AD42" s="90" t="str">
        <x:v>Sep-Oct 2026</x:v>
      </x:c>
      <x:c r="AE42" s="90" t="str">
        <x:v>https://careers.linkedin.com/students</x:v>
      </x:c>
    </x:row>
    <x:row r="43" ht="54" customHeight="1">
      <x:c r="A43" s="90" t="n">
        <x:v>39</x:v>
      </x:c>
      <x:c r="B43" s="90" t="str">
        <x:v>Nutanix</x:v>
      </x:c>
      <x:c r="C43" s="90" t="str">
        <x:v>Target</x:v>
      </x:c>
      <x:c r="D43" s="90" t="n">
        <x:v>48</x:v>
      </x:c>
      <x:c r="E43" s="90" t="n">
        <x:v>12</x:v>
      </x:c>
      <x:c r="F43" s="90" t="n">
        <x:v>100</x:v>
      </x:c>
      <x:c r="G43" s="98" t="n">
        <x:v>0.19903333333333334</x:v>
      </x:c>
      <x:c r="H43" s="98" t="n">
        <x:v>0.42425</x:v>
      </x:c>
      <x:c r="I43" s="98" t="n">
        <x:v>0.7865666666666666</x:v>
      </x:c>
      <x:c r="J43" s="90" t="str">
        <x:v>Low</x:v>
      </x:c>
      <x:c r="K43" s="90" t="str">
        <x:v>Big Tech</x:v>
      </x:c>
      <x:c r="L43" s="90" t="str">
        <x:v>Data Science Intern</x:v>
      </x:c>
      <x:c r="M43" s="90" t="str">
        <x:v>Data Science</x:v>
      </x:c>
      <x:c r="N43" s="98" t="n">
        <x:v>0.82</x:v>
      </x:c>
      <x:c r="O43" s="90" t="str">
        <x:v>Likely workable; verify exact posting</x:v>
      </x:c>
      <x:c r="P43" s="98" t="n">
        <x:v>0.8667079075710682</x:v>
      </x:c>
      <x:c r="Q43" s="98" t="n">
        <x:v>0.7647193838071218</x:v>
      </x:c>
      <x:c r="R43" s="98" t="n">
        <x:v>0.545</x:v>
      </x:c>
      <x:c r="S43" s="98" t="n">
        <x:v>0.5</x:v>
      </x:c>
      <x:c r="T43" s="98" t="n">
        <x:v>0.88</x:v>
      </x:c>
      <x:c r="U43" s="98" t="n">
        <x:v>0.5</x:v>
      </x:c>
      <x:c r="V43" s="98" t="n">
        <x:v>0.76</x:v>
      </x:c>
      <x:c r="W43" s="98" t="n">
        <x:v>0.6472049689440993</x:v>
      </x:c>
      <x:c r="X43" s="90" t="str">
        <x:v>D</x:v>
      </x:c>
      <x:c r="Y43" s="90" t="n">
        <x:v>0</x:v>
      </x:c>
      <x:c r="Z43" s="90" t="str">
        <x:v>ALSAC data science, propensity modeling, DataRobot, Python/SQL and ML research form a clear progression.</x:v>
      </x:c>
      <x:c r="AA43" s="90" t="str">
        <x:v>Exact posting still controls CPT eligibility; Observed roles show graduate-degree skew; No matching public role found in reviewed trackers; LinkedIn network evidence pending</x:v>
      </x:c>
      <x:c r="AB43" s="90" t="str">
        <x:v>No matching role found in reviewed public trackers; treated as missing evidence, not a negative.</x:v>
      </x:c>
      <x:c r="AC43" s="90" t="str"/>
      <x:c r="AD43" s="90" t="str">
        <x:v>Oct-Dec 2026</x:v>
      </x:c>
      <x:c r="AE43" s="90" t="str">
        <x:v>https://www.nutanix.com/company/careers/university</x:v>
      </x:c>
    </x:row>
    <x:row r="44" ht="54" customHeight="1">
      <x:c r="A44" s="90" t="n">
        <x:v>40</x:v>
      </x:c>
      <x:c r="B44" s="90" t="str">
        <x:v>Oracle</x:v>
      </x:c>
      <x:c r="C44" s="90" t="str">
        <x:v>Target</x:v>
      </x:c>
      <x:c r="D44" s="90" t="n">
        <x:v>48</x:v>
      </x:c>
      <x:c r="E44" s="90" t="n">
        <x:v>12</x:v>
      </x:c>
      <x:c r="F44" s="90" t="n">
        <x:v>101</x:v>
      </x:c>
      <x:c r="G44" s="98" t="n">
        <x:v>0.19445</x:v>
      </x:c>
      <x:c r="H44" s="98" t="n">
        <x:v>0.42188333333333333</x:v>
      </x:c>
      <x:c r="I44" s="98" t="n">
        <x:v>0.7860166666666667</x:v>
      </x:c>
      <x:c r="J44" s="90" t="str">
        <x:v>Low</x:v>
      </x:c>
      <x:c r="K44" s="90" t="str">
        <x:v>Big Tech</x:v>
      </x:c>
      <x:c r="L44" s="90" t="str">
        <x:v>Data Science / Analyst Intern</x:v>
      </x:c>
      <x:c r="M44" s="90" t="str">
        <x:v>Data Science</x:v>
      </x:c>
      <x:c r="N44" s="98" t="n">
        <x:v>0.82</x:v>
      </x:c>
      <x:c r="O44" s="90" t="str">
        <x:v>Likely workable; verify exact posting</x:v>
      </x:c>
      <x:c r="P44" s="98" t="n">
        <x:v>0.8367807443140931</x:v>
      </x:c>
      <x:c r="Q44" s="98" t="n">
        <x:v>0.565204962093954</x:v>
      </x:c>
      <x:c r="R44" s="98" t="n">
        <x:v>0.545</x:v>
      </x:c>
      <x:c r="S44" s="98" t="n">
        <x:v>0.5</x:v>
      </x:c>
      <x:c r="T44" s="98" t="n">
        <x:v>0.88</x:v>
      </x:c>
      <x:c r="U44" s="98" t="n">
        <x:v>0.5</x:v>
      </x:c>
      <x:c r="V44" s="98" t="n">
        <x:v>0.76</x:v>
      </x:c>
      <x:c r="W44" s="98" t="n">
        <x:v>0.7267080745341615</x:v>
      </x:c>
      <x:c r="X44" s="90" t="str">
        <x:v>D</x:v>
      </x:c>
      <x:c r="Y44" s="90" t="n">
        <x:v>0</x:v>
      </x:c>
      <x:c r="Z44" s="90" t="str">
        <x:v>ALSAC data science, propensity modeling, DataRobot, Python/SQL and ML research form a clear progression.</x:v>
      </x:c>
      <x:c r="AA44" s="90" t="str">
        <x:v>Exact posting still controls CPT eligibility; Observed roles show graduate-degree skew; No matching public role found in reviewed trackers; LinkedIn network evidence pending</x:v>
      </x:c>
      <x:c r="AB44" s="90" t="str">
        <x:v>No matching role found in reviewed public trackers; treated as missing evidence, not a negative.</x:v>
      </x:c>
      <x:c r="AC44" s="90" t="str"/>
      <x:c r="AD44" s="90" t="str">
        <x:v>Sep-Nov 2026</x:v>
      </x:c>
      <x:c r="AE44" s="90" t="str">
        <x:v>https://www.oracle.com/careers/students-grads/</x:v>
      </x:c>
    </x:row>
    <x:row r="45" ht="54" customHeight="1">
      <x:c r="A45" s="90" t="n">
        <x:v>41</x:v>
      </x:c>
      <x:c r="B45" s="90" t="str">
        <x:v>Intuit</x:v>
      </x:c>
      <x:c r="C45" s="90" t="str">
        <x:v>Target</x:v>
      </x:c>
      <x:c r="D45" s="90" t="n">
        <x:v>50</x:v>
      </x:c>
      <x:c r="E45" s="90" t="n">
        <x:v>14</x:v>
      </x:c>
      <x:c r="F45" s="90" t="n">
        <x:v>101</x:v>
      </x:c>
      <x:c r="G45" s="98" t="n">
        <x:v>0.1687</x:v>
      </x:c>
      <x:c r="H45" s="98" t="n">
        <x:v>0.3926</x:v>
      </x:c>
      <x:c r="I45" s="98" t="n">
        <x:v>0.7768333333333334</x:v>
      </x:c>
      <x:c r="J45" s="90" t="str">
        <x:v>Low</x:v>
      </x:c>
      <x:c r="K45" s="90" t="str">
        <x:v>Big Tech</x:v>
      </x:c>
      <x:c r="L45" s="90" t="str">
        <x:v>Data Science Intern</x:v>
      </x:c>
      <x:c r="M45" s="90" t="str">
        <x:v>Data Science</x:v>
      </x:c>
      <x:c r="N45" s="98" t="n">
        <x:v>0.82</x:v>
      </x:c>
      <x:c r="O45" s="90" t="str">
        <x:v>Likely workable; verify exact posting</x:v>
      </x:c>
      <x:c r="P45" s="98" t="n">
        <x:v>0.813121295976586</x:v>
      </x:c>
      <x:c r="Q45" s="98" t="n">
        <x:v>0.40747530651057345</x:v>
      </x:c>
      <x:c r="R45" s="98" t="n">
        <x:v>0.588206815277534</x:v>
      </x:c>
      <x:c r="S45" s="98" t="n">
        <x:v>0.75</x:v>
      </x:c>
      <x:c r="T45" s="98" t="n">
        <x:v>0.88</x:v>
      </x:c>
      <x:c r="U45" s="98" t="n">
        <x:v>0.5</x:v>
      </x:c>
      <x:c r="V45" s="98" t="n">
        <x:v>0.76</x:v>
      </x:c>
      <x:c r="W45" s="98" t="n">
        <x:v>0.7018633540372671</x:v>
      </x:c>
      <x:c r="X45" s="90" t="str">
        <x:v>C</x:v>
      </x:c>
      <x:c r="Y45" s="90" t="n">
        <x:v>1</x:v>
      </x:c>
      <x:c r="Z45" s="90" t="str">
        <x:v>ALSAC data science, propensity modeling, DataRobot, Python/SQL and ML research form a clear progression.</x:v>
      </x:c>
      <x:c r="AA45" s="90" t="str">
        <x:v>Exact posting still controls CPT eligibility; LinkedIn network evidence pending</x:v>
      </x:c>
      <x:c r="AB45" s="90" t="str">
        <x:v>2026: Data Science Intern – Identity &amp; Analytics (undergrad_unknown, exact)</x:v>
      </x:c>
      <x:c r="AC45" s="90" t="str">
        <x:v>https://raw.githubusercontent.com/SimplifyJobs/Summer2026-Internships/refs/heads/dev/README-Inactive.md</x:v>
      </x:c>
      <x:c r="AD45" s="90" t="str">
        <x:v>Aug-Oct 2026</x:v>
      </x:c>
      <x:c r="AE45" s="90" t="str">
        <x:v>https://www.intuit.com/careers/students/</x:v>
      </x:c>
    </x:row>
    <x:row r="46" ht="54" customHeight="1">
      <x:c r="A46" s="90" t="n">
        <x:v>42</x:v>
      </x:c>
      <x:c r="B46" s="90" t="str">
        <x:v>Edgeworth Economics</x:v>
      </x:c>
      <x:c r="C46" s="90" t="str">
        <x:v>Target</x:v>
      </x:c>
      <x:c r="D46" s="90" t="n">
        <x:v>50</x:v>
      </x:c>
      <x:c r="E46" s="90" t="n">
        <x:v>8</x:v>
      </x:c>
      <x:c r="F46" s="90" t="n">
        <x:v>114</x:v>
      </x:c>
      <x:c r="G46" s="98" t="n">
        <x:v>0.2404</x:v>
      </x:c>
      <x:c r="H46" s="98" t="n">
        <x:v>0.42441666666666666</x:v>
      </x:c>
      <x:c r="I46" s="98" t="n">
        <x:v>0.7200666666666666</x:v>
      </x:c>
      <x:c r="J46" s="90" t="str">
        <x:v>Low</x:v>
      </x:c>
      <x:c r="K46" s="90" t="str">
        <x:v>Econ Consulting</x:v>
      </x:c>
      <x:c r="L46" s="90" t="str">
        <x:v>Analyst Intern</x:v>
      </x:c>
      <x:c r="M46" s="90" t="str">
        <x:v>Economic Consulting</x:v>
      </x:c>
      <x:c r="N46" s="98" t="n">
        <x:v>0.62</x:v>
      </x:c>
      <x:c r="O46" s="90" t="str">
        <x:v>Role-specific; verify future-sponsorship wording</x:v>
      </x:c>
      <x:c r="P46" s="98" t="n">
        <x:v>0.9165258838169883</x:v>
      </x:c>
      <x:c r="Q46" s="98" t="n">
        <x:v>0.0035058921132557785</x:v>
      </x:c>
      <x:c r="R46" s="98" t="n">
        <x:v>0.671</x:v>
      </x:c>
      <x:c r="S46" s="98" t="n">
        <x:v>0.5</x:v>
      </x:c>
      <x:c r="T46" s="98" t="n">
        <x:v>0.92</x:v>
      </x:c>
      <x:c r="U46" s="98" t="n">
        <x:v>0.5</x:v>
      </x:c>
      <x:c r="V46" s="98" t="n">
        <x:v>0.64</x:v>
      </x:c>
      <x:c r="W46" s="98" t="n">
        <x:v>0.9105590062111801</x:v>
      </x:c>
      <x:c r="X46" s="90" t="str">
        <x:v>D</x:v>
      </x:c>
      <x:c r="Y46" s="90" t="n">
        <x:v>0</x:v>
      </x:c>
      <x:c r="Z46" s="90" t="str">
        <x:v>CMDA + Economics, two publications and the incoming economics replication project create unusually direct fit.</x:v>
      </x:c>
      <x:c r="AA46" s="90" t="str">
        <x:v>CPT/future-sponsorship wording must be verified; 3.31 GPA may sit below a preferred threshold; No matching public role found in reviewed trackers; LinkedIn network evidence pending</x:v>
      </x:c>
      <x:c r="AB46" s="90" t="str">
        <x:v>No matching role found in reviewed public trackers; treated as missing evidence, not a negative.</x:v>
      </x:c>
      <x:c r="AC46" s="90" t="str"/>
      <x:c r="AD46" s="90" t="str">
        <x:v>Oct-Dec 2026</x:v>
      </x:c>
      <x:c r="AE46" s="90" t="str">
        <x:v>https://www.edgewortheconomics.com/careers</x:v>
      </x:c>
    </x:row>
    <x:row r="47" ht="54" customHeight="1">
      <x:c r="A47" s="90" t="n">
        <x:v>43</x:v>
      </x:c>
      <x:c r="B47" s="90" t="str">
        <x:v>Google</x:v>
      </x:c>
      <x:c r="C47" s="90" t="str">
        <x:v>Target</x:v>
      </x:c>
      <x:c r="D47" s="90" t="n">
        <x:v>52</x:v>
      </x:c>
      <x:c r="E47" s="90" t="n">
        <x:v>17</x:v>
      </x:c>
      <x:c r="F47" s="90" t="n">
        <x:v>97</x:v>
      </x:c>
      <x:c r="G47" s="98" t="n">
        <x:v>0.13016666666666668</x:v>
      </x:c>
      <x:c r="H47" s="98" t="n">
        <x:v>0.35823333333333335</x:v>
      </x:c>
      <x:c r="I47" s="98" t="n">
        <x:v>0.7888833333333334</x:v>
      </x:c>
      <x:c r="J47" s="90" t="str">
        <x:v>Low</x:v>
      </x:c>
      <x:c r="K47" s="90" t="str">
        <x:v>Big Tech</x:v>
      </x:c>
      <x:c r="L47" s="90" t="str">
        <x:v>Data Science Intern / Student Researcher</x:v>
      </x:c>
      <x:c r="M47" s="90" t="str">
        <x:v>Data Science</x:v>
      </x:c>
      <x:c r="N47" s="98" t="n">
        <x:v>0.9</x:v>
      </x:c>
      <x:c r="O47" s="90" t="str">
        <x:v>Strong historical/declared CPT evidence</x:v>
      </x:c>
      <x:c r="P47" s="98" t="n">
        <x:v>0.9019999999999999</x:v>
      </x:c>
      <x:c r="Q47" s="98" t="n">
        <x:v>1</x:v>
      </x:c>
      <x:c r="R47" s="98" t="n">
        <x:v>0.545</x:v>
      </x:c>
      <x:c r="S47" s="98" t="n">
        <x:v>0.5</x:v>
      </x:c>
      <x:c r="T47" s="98" t="n">
        <x:v>0.92</x:v>
      </x:c>
      <x:c r="U47" s="98" t="n">
        <x:v>0.5</x:v>
      </x:c>
      <x:c r="V47" s="98" t="n">
        <x:v>0.76</x:v>
      </x:c>
      <x:c r="W47" s="98" t="n">
        <x:v>0.23975155279503105</x:v>
      </x:c>
      <x:c r="X47" s="90" t="str">
        <x:v>D</x:v>
      </x:c>
      <x:c r="Y47" s="90" t="n">
        <x:v>0</x:v>
      </x:c>
      <x:c r="Z47" s="90" t="str">
        <x:v>ALSAC data science, propensity modeling, DataRobot, Python/SQL and ML research form a clear progression.</x:v>
      </x:c>
      <x:c r="AA47" s="90" t="str">
        <x:v>Exact posting still controls CPT eligibility; Observed roles show graduate-degree skew; No matching public role found in reviewed trackers; LinkedIn network evidence pending</x:v>
      </x:c>
      <x:c r="AB47" s="90" t="str">
        <x:v>No matching role found in reviewed public trackers; treated as missing evidence, not a negative.</x:v>
      </x:c>
      <x:c r="AC47" s="90" t="str"/>
      <x:c r="AD47" s="90" t="str">
        <x:v>Opens ~mid-Oct 2026, window only 2-4 WEEKS. Calendar reminder for Sep 25.</x:v>
      </x:c>
      <x:c r="AE47" s="90" t="str">
        <x:v>https://www.google.com/about/careers/applications/students/</x:v>
      </x:c>
    </x:row>
    <x:row r="48" ht="54" customHeight="1">
      <x:c r="A48" s="90" t="n">
        <x:v>44</x:v>
      </x:c>
      <x:c r="B48" s="90" t="str">
        <x:v>Block (Square/Cash App)</x:v>
      </x:c>
      <x:c r="C48" s="90" t="str">
        <x:v>Target</x:v>
      </x:c>
      <x:c r="D48" s="90" t="n">
        <x:v>52</x:v>
      </x:c>
      <x:c r="E48" s="90" t="n">
        <x:v>14</x:v>
      </x:c>
      <x:c r="F48" s="90" t="n">
        <x:v>104</x:v>
      </x:c>
      <x:c r="G48" s="98" t="n">
        <x:v>0.16496666666666668</x:v>
      </x:c>
      <x:c r="H48" s="98" t="n">
        <x:v>0.3777333333333333</x:v>
      </x:c>
      <x:c r="I48" s="98" t="n">
        <x:v>0.7558166666666667</x:v>
      </x:c>
      <x:c r="J48" s="90" t="str">
        <x:v>Low</x:v>
      </x:c>
      <x:c r="K48" s="90" t="str">
        <x:v>Big Tech</x:v>
      </x:c>
      <x:c r="L48" s="90" t="str">
        <x:v>Data Science Intern</x:v>
      </x:c>
      <x:c r="M48" s="90" t="str">
        <x:v>Data Science</x:v>
      </x:c>
      <x:c r="N48" s="98" t="n">
        <x:v>0.82</x:v>
      </x:c>
      <x:c r="O48" s="90" t="str">
        <x:v>Likely workable; verify exact posting</x:v>
      </x:c>
      <x:c r="P48" s="98" t="n">
        <x:v>0.9167079075710682</x:v>
      </x:c>
      <x:c r="Q48" s="98" t="n">
        <x:v>0.7647193838071218</x:v>
      </x:c>
      <x:c r="R48" s="98" t="n">
        <x:v>0.545</x:v>
      </x:c>
      <x:c r="S48" s="98" t="n">
        <x:v>0.5</x:v>
      </x:c>
      <x:c r="T48" s="98" t="n">
        <x:v>0.88</x:v>
      </x:c>
      <x:c r="U48" s="98" t="n">
        <x:v>0.5</x:v>
      </x:c>
      <x:c r="V48" s="98" t="n">
        <x:v>0.76</x:v>
      </x:c>
      <x:c r="W48" s="98" t="n">
        <x:v>0.4683229813664596</x:v>
      </x:c>
      <x:c r="X48" s="90" t="str">
        <x:v>D</x:v>
      </x:c>
      <x:c r="Y48" s="90" t="n">
        <x:v>0</x:v>
      </x:c>
      <x:c r="Z48" s="90" t="str">
        <x:v>ALSAC data science, propensity modeling, DataRobot, Python/SQL and ML research form a clear progression. Payments and consumer-spend analytics closely match his consumer-behavior and segmentation experience.</x:v>
      </x:c>
      <x:c r="AA48" s="90" t="str">
        <x:v>Exact posting still controls CPT eligibility; Observed roles show graduate-degree skew; No matching public role found in reviewed trackers; LinkedIn network evidence pending</x:v>
      </x:c>
      <x:c r="AB48" s="90" t="str">
        <x:v>No matching role found in reviewed public trackers; treated as missing evidence, not a negative.</x:v>
      </x:c>
      <x:c r="AC48" s="90" t="str"/>
      <x:c r="AD48" s="90" t="str">
        <x:v>Sep-Nov 2026</x:v>
      </x:c>
      <x:c r="AE48" s="90" t="str">
        <x:v>https://block.xyz/careers</x:v>
      </x:c>
    </x:row>
    <x:row r="49" ht="54" customHeight="1">
      <x:c r="A49" s="90" t="n">
        <x:v>45</x:v>
      </x:c>
      <x:c r="B49" s="90" t="str">
        <x:v>PayPal</x:v>
      </x:c>
      <x:c r="C49" s="90" t="str">
        <x:v>Target</x:v>
      </x:c>
      <x:c r="D49" s="90" t="n">
        <x:v>52</x:v>
      </x:c>
      <x:c r="E49" s="90" t="n">
        <x:v>14</x:v>
      </x:c>
      <x:c r="F49" s="90" t="n">
        <x:v>104</x:v>
      </x:c>
      <x:c r="G49" s="98" t="n">
        <x:v>0.16258333333333333</x:v>
      </x:c>
      <x:c r="H49" s="98" t="n">
        <x:v>0.3745833333333333</x:v>
      </x:c>
      <x:c r="I49" s="98" t="n">
        <x:v>0.7526</x:v>
      </x:c>
      <x:c r="J49" s="90" t="str">
        <x:v>Low</x:v>
      </x:c>
      <x:c r="K49" s="90" t="str">
        <x:v>Big Tech</x:v>
      </x:c>
      <x:c r="L49" s="90" t="str">
        <x:v>Data Science Intern</x:v>
      </x:c>
      <x:c r="M49" s="90" t="str">
        <x:v>Data Science</x:v>
      </x:c>
      <x:c r="N49" s="98" t="n">
        <x:v>0.82</x:v>
      </x:c>
      <x:c r="O49" s="90" t="str">
        <x:v>Likely workable; verify exact posting</x:v>
      </x:c>
      <x:c r="P49" s="98" t="n">
        <x:v>0.9167079075710682</x:v>
      </x:c>
      <x:c r="Q49" s="98" t="n">
        <x:v>0.7647193838071218</x:v>
      </x:c>
      <x:c r="R49" s="98" t="n">
        <x:v>0.545</x:v>
      </x:c>
      <x:c r="S49" s="98" t="n">
        <x:v>0.5</x:v>
      </x:c>
      <x:c r="T49" s="98" t="n">
        <x:v>0.88</x:v>
      </x:c>
      <x:c r="U49" s="98" t="n">
        <x:v>0.5</x:v>
      </x:c>
      <x:c r="V49" s="98" t="n">
        <x:v>0.76</x:v>
      </x:c>
      <x:c r="W49" s="98" t="n">
        <x:v>0.4633540372670807</x:v>
      </x:c>
      <x:c r="X49" s="90" t="str">
        <x:v>D</x:v>
      </x:c>
      <x:c r="Y49" s="90" t="n">
        <x:v>0</x:v>
      </x:c>
      <x:c r="Z49" s="90" t="str">
        <x:v>ALSAC data science, propensity modeling, DataRobot, Python/SQL and ML research form a clear progression. Payments and consumer-spend analytics closely match his consumer-behavior and segmentation experience.</x:v>
      </x:c>
      <x:c r="AA49" s="90" t="str">
        <x:v>Exact posting still controls CPT eligibility; Observed roles show graduate-degree skew; No matching public role found in reviewed trackers; LinkedIn network evidence pending</x:v>
      </x:c>
      <x:c r="AB49" s="90" t="str">
        <x:v>No matching role found in reviewed public trackers; treated as missing evidence, not a negative.</x:v>
      </x:c>
      <x:c r="AC49" s="90" t="str"/>
      <x:c r="AD49" s="90" t="str">
        <x:v>Sep-Nov 2026</x:v>
      </x:c>
      <x:c r="AE49" s="90" t="str">
        <x:v>https://careers.pypl.com/students/</x:v>
      </x:c>
    </x:row>
    <x:row r="50" ht="54" customHeight="1">
      <x:c r="A50" s="90" t="n">
        <x:v>46</x:v>
      </x:c>
      <x:c r="B50" s="90" t="str">
        <x:v>ZS Associates</x:v>
      </x:c>
      <x:c r="C50" s="90" t="str">
        <x:v>Target</x:v>
      </x:c>
      <x:c r="D50" s="90" t="n">
        <x:v>52</x:v>
      </x:c>
      <x:c r="E50" s="90" t="n">
        <x:v>14</x:v>
      </x:c>
      <x:c r="F50" s="90" t="n">
        <x:v>104</x:v>
      </x:c>
      <x:c r="G50" s="98" t="n">
        <x:v>0.16853333333333334</x:v>
      </x:c>
      <x:c r="H50" s="98" t="n">
        <x:v>0.38361666666666666</x:v>
      </x:c>
      <x:c r="I50" s="98" t="n">
        <x:v>0.75445</x:v>
      </x:c>
      <x:c r="J50" s="90" t="str">
        <x:v>Low</x:v>
      </x:c>
      <x:c r="K50" s="90" t="str">
        <x:v>Consulting</x:v>
      </x:c>
      <x:c r="L50" s="90" t="str">
        <x:v>Decision Analytics Associate Intern</x:v>
      </x:c>
      <x:c r="M50" s="90" t="str">
        <x:v>Analytics Consulting</x:v>
      </x:c>
      <x:c r="N50" s="98" t="n">
        <x:v>0.82</x:v>
      </x:c>
      <x:c r="O50" s="90" t="str">
        <x:v>Likely workable; verify exact posting</x:v>
      </x:c>
      <x:c r="P50" s="98" t="n">
        <x:v>0.8113307184297449</x:v>
      </x:c>
      <x:c r="Q50" s="98" t="n">
        <x:v>0.12887145619829898</x:v>
      </x:c>
      <x:c r="R50" s="98" t="n">
        <x:v>0.635</x:v>
      </x:c>
      <x:c r="S50" s="98" t="n">
        <x:v>0.5</x:v>
      </x:c>
      <x:c r="T50" s="98" t="n">
        <x:v>0.8</x:v>
      </x:c>
      <x:c r="U50" s="98" t="n">
        <x:v>0.5</x:v>
      </x:c>
      <x:c r="V50" s="98" t="n">
        <x:v>0.6799999999999999</x:v>
      </x:c>
      <x:c r="W50" s="98" t="n">
        <x:v>0.7416149068322981</x:v>
      </x:c>
      <x:c r="X50" s="90" t="str">
        <x:v>D</x:v>
      </x:c>
      <x:c r="Y50" s="90" t="n">
        <x:v>0</x:v>
      </x:c>
      <x:c r="Z50" s="90" t="str">
        <x:v>Technical analytics plus economics, research and residential leadership support client-facing analytical work.</x:v>
      </x:c>
      <x:c r="AA50" s="90" t="str">
        <x:v>Exact posting still controls CPT eligibility; 3.31 GPA may sit below a preferred threshold; No matching public role found in reviewed trackers; LinkedIn network evidence pending</x:v>
      </x:c>
      <x:c r="AB50" s="90" t="str">
        <x:v>No matching role found in reviewed public trackers; treated as missing evidence, not a negative.</x:v>
      </x:c>
      <x:c r="AC50" s="90" t="str"/>
      <x:c r="AD50" s="90" t="str">
        <x:v>Aug-Oct 2026</x:v>
      </x:c>
      <x:c r="AE50" s="90" t="str">
        <x:v>https://www.zs.com/careers/students</x:v>
      </x:c>
    </x:row>
    <x:row r="51" ht="54" customHeight="1">
      <x:c r="A51" s="90" t="n">
        <x:v>47</x:v>
      </x:c>
      <x:c r="B51" s="90" t="str">
        <x:v>Zillow</x:v>
      </x:c>
      <x:c r="C51" s="90" t="str">
        <x:v>Target</x:v>
      </x:c>
      <x:c r="D51" s="90" t="n">
        <x:v>55</x:v>
      </x:c>
      <x:c r="E51" s="90" t="n">
        <x:v>18</x:v>
      </x:c>
      <x:c r="F51" s="90" t="n">
        <x:v>103</x:v>
      </x:c>
      <x:c r="G51" s="98" t="n">
        <x:v>0.12138333333333333</x:v>
      </x:c>
      <x:c r="H51" s="98" t="n">
        <x:v>0.33236666666666664</x:v>
      </x:c>
      <x:c r="I51" s="98" t="n">
        <x:v>0.7438166666666667</x:v>
      </x:c>
      <x:c r="J51" s="90" t="str">
        <x:v>Low</x:v>
      </x:c>
      <x:c r="K51" s="90" t="str">
        <x:v>Big Tech</x:v>
      </x:c>
      <x:c r="L51" s="90" t="str">
        <x:v>Data Science / Applied Science Intern</x:v>
      </x:c>
      <x:c r="M51" s="90" t="str">
        <x:v>Data Science</x:v>
      </x:c>
      <x:c r="N51" s="98" t="n">
        <x:v>0.82</x:v>
      </x:c>
      <x:c r="O51" s="90" t="str">
        <x:v>Likely workable; verify exact posting</x:v>
      </x:c>
      <x:c r="P51" s="98" t="n">
        <x:v>0.7724818462505337</x:v>
      </x:c>
      <x:c r="Q51" s="98" t="n">
        <x:v>0.03654564167022463</x:v>
      </x:c>
      <x:c r="R51" s="98" t="n">
        <x:v>0.5037637883030557</x:v>
      </x:c>
      <x:c r="S51" s="98" t="n">
        <x:v>0.35</x:v>
      </x:c>
      <x:c r="T51" s="98" t="n">
        <x:v>0.88</x:v>
      </x:c>
      <x:c r="U51" s="98" t="n">
        <x:v>0.5</x:v>
      </x:c>
      <x:c r="V51" s="98" t="n">
        <x:v>0.76</x:v>
      </x:c>
      <x:c r="W51" s="98" t="n">
        <x:v>0.8658385093167702</x:v>
      </x:c>
      <x:c r="X51" s="90" t="str">
        <x:v>C</x:v>
      </x:c>
      <x:c r="Y51" s="90" t="n">
        <x:v>2</x:v>
      </x:c>
      <x:c r="Z51" s="90" t="str">
        <x:v>ALSAC data science, propensity modeling, DataRobot, Python/SQL and ML research form a clear progression.</x:v>
      </x:c>
      <x:c r="AA51" s="90" t="str">
        <x:v>Exact posting still controls CPT eligibility; Observed roles show graduate-degree skew; LinkedIn network evidence pending</x:v>
      </x:c>
      <x:c r="AB51" s="90" t="str">
        <x:v>2026: AI Applied Scientist Intern (advanced_unknown, adjacent) | 2026: AI Applied Scientist Intern – Evaluation Systems and Metrics (advanced_unknown, adjacent)</x:v>
      </x:c>
      <x:c r="AC51" s="90" t="str">
        <x:v>https://raw.githubusercontent.com/SimplifyJobs/Summer2026-Internships/refs/heads/dev/README-Inactive.md</x:v>
      </x:c>
      <x:c r="AD51" s="90" t="str">
        <x:v>Sep-Nov 2026</x:v>
      </x:c>
      <x:c r="AE51" s="90" t="str">
        <x:v>https://www.zillow.com/careers/students/</x:v>
      </x:c>
    </x:row>
    <x:row r="52" ht="54" customHeight="1">
      <x:c r="A52" s="90" t="n">
        <x:v>48</x:v>
      </x:c>
      <x:c r="B52" s="90" t="str">
        <x:v>Splunk (Cisco)</x:v>
      </x:c>
      <x:c r="C52" s="90" t="str">
        <x:v>Target</x:v>
      </x:c>
      <x:c r="D52" s="90" t="n">
        <x:v>55</x:v>
      </x:c>
      <x:c r="E52" s="90" t="n">
        <x:v>17</x:v>
      </x:c>
      <x:c r="F52" s="90" t="n">
        <x:v>104</x:v>
      </x:c>
      <x:c r="G52" s="98" t="n">
        <x:v>0.13083333333333333</x:v>
      </x:c>
      <x:c r="H52" s="98" t="n">
        <x:v>0.33971666666666667</x:v>
      </x:c>
      <x:c r="I52" s="98" t="n">
        <x:v>0.74415</x:v>
      </x:c>
      <x:c r="J52" s="90" t="str">
        <x:v>Low</x:v>
      </x:c>
      <x:c r="K52" s="90" t="str">
        <x:v>Big Tech</x:v>
      </x:c>
      <x:c r="L52" s="90" t="str">
        <x:v>Data Science Intern</x:v>
      </x:c>
      <x:c r="M52" s="90" t="str">
        <x:v>Data Science</x:v>
      </x:c>
      <x:c r="N52" s="98" t="n">
        <x:v>0.82</x:v>
      </x:c>
      <x:c r="O52" s="90" t="str">
        <x:v>Likely workable; verify exact posting</x:v>
      </x:c>
      <x:c r="P52" s="98" t="n">
        <x:v>0.7921604252748877</x:v>
      </x:c>
      <x:c r="Q52" s="98" t="n">
        <x:v>0.26773616849925186</x:v>
      </x:c>
      <x:c r="R52" s="98" t="n">
        <x:v>0.6268831231156798</x:v>
      </x:c>
      <x:c r="S52" s="98" t="n">
        <x:v>0.75</x:v>
      </x:c>
      <x:c r="T52" s="98" t="n">
        <x:v>0.88</x:v>
      </x:c>
      <x:c r="U52" s="98" t="n">
        <x:v>0.5</x:v>
      </x:c>
      <x:c r="V52" s="98" t="n">
        <x:v>0.76</x:v>
      </x:c>
      <x:c r="W52" s="98" t="n">
        <x:v>0.6422360248447205</x:v>
      </x:c>
      <x:c r="X52" s="90" t="str">
        <x:v>C</x:v>
      </x:c>
      <x:c r="Y52" s="90" t="n">
        <x:v>2</x:v>
      </x:c>
      <x:c r="Z52" s="90" t="str">
        <x:v>ALSAC data science, propensity modeling, DataRobot, Python/SQL and ML research form a clear progression.</x:v>
      </x:c>
      <x:c r="AA52" s="90" t="str">
        <x:v>Exact posting still controls CPT eligibility; LinkedIn network evidence pending</x:v>
      </x:c>
      <x:c r="AB52" s="90" t="str">
        <x:v>2025: Security Data Scientist Intern (undergrad_unknown, exact) | 2025: Machine Learning Engineer Intern (undergrad_unknown, adjacent)</x:v>
      </x:c>
      <x:c r="AC52" s="90" t="str">
        <x:v>https://raw.githubusercontent.com/SimplifyJobs/Summer2026-Internships/refs/heads/dev/archived/README-2025.md</x:v>
      </x:c>
      <x:c r="AD52" s="90" t="str">
        <x:v>Sep-Nov 2026</x:v>
      </x:c>
      <x:c r="AE52" s="90" t="str">
        <x:v>https://www.splunk.com/en_us/careers/university-recruiting.html</x:v>
      </x:c>
    </x:row>
    <x:row r="53" ht="54" customHeight="1">
      <x:c r="A53" s="90" t="n">
        <x:v>49</x:v>
      </x:c>
      <x:c r="B53" s="90" t="str">
        <x:v>Expedia Group</x:v>
      </x:c>
      <x:c r="C53" s="90" t="str">
        <x:v>Target</x:v>
      </x:c>
      <x:c r="D53" s="90" t="n">
        <x:v>55</x:v>
      </x:c>
      <x:c r="E53" s="90" t="n">
        <x:v>17</x:v>
      </x:c>
      <x:c r="F53" s="90" t="n">
        <x:v>106</x:v>
      </x:c>
      <x:c r="G53" s="98" t="n">
        <x:v>0.13791666666666666</x:v>
      </x:c>
      <x:c r="H53" s="98" t="n">
        <x:v>0.34373333333333334</x:v>
      </x:c>
      <x:c r="I53" s="98" t="n">
        <x:v>0.7346833333333334</x:v>
      </x:c>
      <x:c r="J53" s="90" t="str">
        <x:v>Low</x:v>
      </x:c>
      <x:c r="K53" s="90" t="str">
        <x:v>Big Tech</x:v>
      </x:c>
      <x:c r="L53" s="90" t="str">
        <x:v>Data Science Intern</x:v>
      </x:c>
      <x:c r="M53" s="90" t="str">
        <x:v>Data Science</x:v>
      </x:c>
      <x:c r="N53" s="98" t="n">
        <x:v>0.82</x:v>
      </x:c>
      <x:c r="O53" s="90" t="str">
        <x:v>Likely workable; verify exact posting</x:v>
      </x:c>
      <x:c r="P53" s="98" t="n">
        <x:v>0.8434312984465813</x:v>
      </x:c>
      <x:c r="Q53" s="98" t="n">
        <x:v>0.6095419896438748</x:v>
      </x:c>
      <x:c r="R53" s="98" t="n">
        <x:v>0.4939455189503966</x:v>
      </x:c>
      <x:c r="S53" s="98" t="n">
        <x:v>0.25</x:v>
      </x:c>
      <x:c r="T53" s="98" t="n">
        <x:v>0.88</x:v>
      </x:c>
      <x:c r="U53" s="98" t="n">
        <x:v>0.5</x:v>
      </x:c>
      <x:c r="V53" s="98" t="n">
        <x:v>0.76</x:v>
      </x:c>
      <x:c r="W53" s="98" t="n">
        <x:v>0.6720496894409937</x:v>
      </x:c>
      <x:c r="X53" s="90" t="str">
        <x:v>C</x:v>
      </x:c>
      <x:c r="Y53" s="90" t="n">
        <x:v>1</x:v>
      </x:c>
      <x:c r="Z53" s="90" t="str">
        <x:v>ALSAC data science, propensity modeling, DataRobot, Python/SQL and ML research form a clear progression.</x:v>
      </x:c>
      <x:c r="AA53" s="90" t="str">
        <x:v>Exact posting still controls CPT eligibility; Observed roles show graduate-degree skew; LinkedIn network evidence pending</x:v>
      </x:c>
      <x:c r="AB53" s="90" t="str">
        <x:v>2026: Machine Learning Science Intern (masters_or_unknown, adjacent)</x:v>
      </x:c>
      <x:c r="AC53" s="90" t="str">
        <x:v>https://raw.githubusercontent.com/SimplifyJobs/Summer2026-Internships/refs/heads/dev/README-Inactive.md</x:v>
      </x:c>
      <x:c r="AD53" s="90" t="str">
        <x:v>Sep-Nov 2026</x:v>
      </x:c>
      <x:c r="AE53" s="90" t="str">
        <x:v>https://careers.expediagroup.com/early-careers/</x:v>
      </x:c>
    </x:row>
    <x:row r="54" ht="54" customHeight="1">
      <x:c r="A54" s="90" t="n">
        <x:v>50</x:v>
      </x:c>
      <x:c r="B54" s="90" t="str">
        <x:v>Bloomberg</x:v>
      </x:c>
      <x:c r="C54" s="90" t="str">
        <x:v>Target</x:v>
      </x:c>
      <x:c r="D54" s="90" t="n">
        <x:v>55</x:v>
      </x:c>
      <x:c r="E54" s="90" t="n">
        <x:v>15</x:v>
      </x:c>
      <x:c r="F54" s="90" t="n">
        <x:v>107</x:v>
      </x:c>
      <x:c r="G54" s="98" t="n">
        <x:v>0.15018333333333334</x:v>
      </x:c>
      <x:c r="H54" s="98" t="n">
        <x:v>0.35718333333333335</x:v>
      </x:c>
      <x:c r="I54" s="98" t="n">
        <x:v>0.7333666666666666</x:v>
      </x:c>
      <x:c r="J54" s="90" t="str">
        <x:v>Low</x:v>
      </x:c>
      <x:c r="K54" s="90" t="str">
        <x:v>Finance/Tech</x:v>
      </x:c>
      <x:c r="L54" s="90" t="str">
        <x:v>Data Science Intern</x:v>
      </x:c>
      <x:c r="M54" s="90" t="str">
        <x:v>Data Science</x:v>
      </x:c>
      <x:c r="N54" s="98" t="n">
        <x:v>0.82</x:v>
      </x:c>
      <x:c r="O54" s="90" t="str">
        <x:v>Likely workable; verify exact posting</x:v>
      </x:c>
      <x:c r="P54" s="98" t="n">
        <x:v>0.8632638501310361</x:v>
      </x:c>
      <x:c r="Q54" s="98" t="n">
        <x:v>0.6417590008735737</x:v>
      </x:c>
      <x:c r="R54" s="98" t="n">
        <x:v>0.545</x:v>
      </x:c>
      <x:c r="S54" s="98" t="n">
        <x:v>0.5</x:v>
      </x:c>
      <x:c r="T54" s="98" t="n">
        <x:v>0.92</x:v>
      </x:c>
      <x:c r="U54" s="98" t="n">
        <x:v>0.5</x:v>
      </x:c>
      <x:c r="V54" s="98" t="n">
        <x:v>0.76</x:v>
      </x:c>
      <x:c r="W54" s="98" t="n">
        <x:v>0.5279503105590062</x:v>
      </x:c>
      <x:c r="X54" s="90" t="str">
        <x:v>D</x:v>
      </x:c>
      <x:c r="Y54" s="90" t="n">
        <x:v>0</x:v>
      </x:c>
      <x:c r="Z54" s="90" t="str">
        <x:v>ALSAC data science, propensity modeling, DataRobot, Python/SQL and ML research form a clear progression.</x:v>
      </x:c>
      <x:c r="AA54" s="90" t="str">
        <x:v>Exact posting still controls CPT eligibility; Observed roles show graduate-degree skew; No matching public role found in reviewed trackers; LinkedIn network evidence pending</x:v>
      </x:c>
      <x:c r="AB54" s="90" t="str">
        <x:v>No matching role found in reviewed public trackers; treated as missing evidence, not a negative.</x:v>
      </x:c>
      <x:c r="AC54" s="90" t="str"/>
      <x:c r="AD54" s="90" t="str">
        <x:v>Aug-Oct 2026</x:v>
      </x:c>
      <x:c r="AE54" s="90" t="str">
        <x:v>https://www.bloomberg.com/careers/early-career/</x:v>
      </x:c>
    </x:row>
    <x:row r="55" ht="54" customHeight="1">
      <x:c r="A55" s="90" t="n">
        <x:v>51</x:v>
      </x:c>
      <x:c r="B55" s="90" t="str">
        <x:v>Workday</x:v>
      </x:c>
      <x:c r="C55" s="90" t="str">
        <x:v>Target</x:v>
      </x:c>
      <x:c r="D55" s="90" t="n">
        <x:v>58</x:v>
      </x:c>
      <x:c r="E55" s="90" t="n">
        <x:v>17</x:v>
      </x:c>
      <x:c r="F55" s="90" t="n">
        <x:v>110</x:v>
      </x:c>
      <x:c r="G55" s="98" t="n">
        <x:v>0.12943333333333334</x:v>
      </x:c>
      <x:c r="H55" s="98" t="n">
        <x:v>0.32103333333333334</x:v>
      </x:c>
      <x:c r="I55" s="98" t="n">
        <x:v>0.6992</x:v>
      </x:c>
      <x:c r="J55" s="90" t="str">
        <x:v>Low</x:v>
      </x:c>
      <x:c r="K55" s="90" t="str">
        <x:v>Big Tech</x:v>
      </x:c>
      <x:c r="L55" s="90" t="str">
        <x:v>Data Science Intern (Generation Workday)</x:v>
      </x:c>
      <x:c r="M55" s="90" t="str">
        <x:v>Data Science</x:v>
      </x:c>
      <x:c r="N55" s="98" t="n">
        <x:v>0.82</x:v>
      </x:c>
      <x:c r="O55" s="90" t="str">
        <x:v>Likely workable; verify exact posting</x:v>
      </x:c>
      <x:c r="P55" s="98" t="n">
        <x:v>0.7956782781260388</x:v>
      </x:c>
      <x:c r="Q55" s="98" t="n">
        <x:v>0.29118852084025837</x:v>
      </x:c>
      <x:c r="R55" s="98" t="n">
        <x:v>0.545</x:v>
      </x:c>
      <x:c r="S55" s="98" t="n">
        <x:v>0.5</x:v>
      </x:c>
      <x:c r="T55" s="98" t="n">
        <x:v>0.88</x:v>
      </x:c>
      <x:c r="U55" s="98" t="n">
        <x:v>0.5</x:v>
      </x:c>
      <x:c r="V55" s="98" t="n">
        <x:v>0.76</x:v>
      </x:c>
      <x:c r="W55" s="98" t="n">
        <x:v>0.6919254658385092</x:v>
      </x:c>
      <x:c r="X55" s="90" t="str">
        <x:v>D</x:v>
      </x:c>
      <x:c r="Y55" s="90" t="n">
        <x:v>0</x:v>
      </x:c>
      <x:c r="Z55" s="90" t="str">
        <x:v>ALSAC data science, propensity modeling, DataRobot, Python/SQL and ML research form a clear progression.</x:v>
      </x:c>
      <x:c r="AA55" s="90" t="str">
        <x:v>Exact posting still controls CPT eligibility; Observed roles show graduate-degree skew; No matching public role found in reviewed trackers; LinkedIn network evidence pending</x:v>
      </x:c>
      <x:c r="AB55" s="90" t="str">
        <x:v>No matching role found in reviewed public trackers; treated as missing evidence, not a negative.</x:v>
      </x:c>
      <x:c r="AC55" s="90" t="str"/>
      <x:c r="AD55" s="90" t="str">
        <x:v>Sep-Nov 2026</x:v>
      </x:c>
      <x:c r="AE55" s="90" t="str">
        <x:v>https://workday.wd5.myworkdayjobs.com/Workday_Early_Career</x:v>
      </x:c>
    </x:row>
    <x:row r="56" ht="54" customHeight="1">
      <x:c r="A56" s="90" t="n">
        <x:v>52</x:v>
      </x:c>
      <x:c r="B56" s="90" t="str">
        <x:v>Coinbase</x:v>
      </x:c>
      <x:c r="C56" s="90" t="str">
        <x:v>Target</x:v>
      </x:c>
      <x:c r="D56" s="90" t="n">
        <x:v>59</x:v>
      </x:c>
      <x:c r="E56" s="90" t="n">
        <x:v>18</x:v>
      </x:c>
      <x:c r="F56" s="90" t="n">
        <x:v>109</x:v>
      </x:c>
      <x:c r="G56" s="98" t="n">
        <x:v>0.11776666666666667</x:v>
      </x:c>
      <x:c r="H56" s="98" t="n">
        <x:v>0.30795</x:v>
      </x:c>
      <x:c r="I56" s="98" t="n">
        <x:v>0.7041</x:v>
      </x:c>
      <x:c r="J56" s="90" t="str">
        <x:v>Low</x:v>
      </x:c>
      <x:c r="K56" s="90" t="str">
        <x:v>Big Tech</x:v>
      </x:c>
      <x:c r="L56" s="90" t="str">
        <x:v>Data Science Intern</x:v>
      </x:c>
      <x:c r="M56" s="90" t="str">
        <x:v>Data Science</x:v>
      </x:c>
      <x:c r="N56" s="98" t="n">
        <x:v>0.82</x:v>
      </x:c>
      <x:c r="O56" s="90" t="str">
        <x:v>Likely workable; verify exact posting</x:v>
      </x:c>
      <x:c r="P56" s="98" t="n">
        <x:v>0.8658515574655792</x:v>
      </x:c>
      <x:c r="Q56" s="98" t="n">
        <x:v>0.7590103831038618</x:v>
      </x:c>
      <x:c r="R56" s="98" t="n">
        <x:v>0.5826314717538699</x:v>
      </x:c>
      <x:c r="S56" s="98" t="n">
        <x:v>0.75</x:v>
      </x:c>
      <x:c r="T56" s="98" t="n">
        <x:v>0.88</x:v>
      </x:c>
      <x:c r="U56" s="98" t="n">
        <x:v>0.5</x:v>
      </x:c>
      <x:c r="V56" s="98" t="n">
        <x:v>0.76</x:v>
      </x:c>
      <x:c r="W56" s="98" t="n">
        <x:v>0.453416149068323</x:v>
      </x:c>
      <x:c r="X56" s="90" t="str">
        <x:v>C</x:v>
      </x:c>
      <x:c r="Y56" s="90" t="n">
        <x:v>1</x:v>
      </x:c>
      <x:c r="Z56" s="90" t="str">
        <x:v>ALSAC data science, propensity modeling, DataRobot, Python/SQL and ML research form a clear progression.</x:v>
      </x:c>
      <x:c r="AA56" s="90" t="str">
        <x:v>Exact posting still controls CPT eligibility; LinkedIn network evidence pending</x:v>
      </x:c>
      <x:c r="AB56" s="90" t="str">
        <x:v>2025: Data Science Intern (undergrad_unknown, exact)</x:v>
      </x:c>
      <x:c r="AC56" s="90" t="str">
        <x:v>https://raw.githubusercontent.com/SimplifyJobs/Summer2026-Internships/refs/heads/dev/archived/README-2025.md</x:v>
      </x:c>
      <x:c r="AD56" s="90" t="str">
        <x:v>Sep-Nov 2026</x:v>
      </x:c>
      <x:c r="AE56" s="90" t="str">
        <x:v>https://www.coinbase.com/careers/students</x:v>
      </x:c>
    </x:row>
    <x:row r="57" ht="54" customHeight="1">
      <x:c r="A57" s="90" t="n">
        <x:v>53</x:v>
      </x:c>
      <x:c r="B57" s="90" t="str">
        <x:v>Qualcomm</x:v>
      </x:c>
      <x:c r="C57" s="90" t="str">
        <x:v>Target</x:v>
      </x:c>
      <x:c r="D57" s="90" t="n">
        <x:v>63</x:v>
      </x:c>
      <x:c r="E57" s="90" t="n">
        <x:v>26</x:v>
      </x:c>
      <x:c r="F57" s="90" t="n">
        <x:v>106</x:v>
      </x:c>
      <x:c r="G57" s="98" t="n">
        <x:v>0.06396666666666667</x:v>
      </x:c>
      <x:c r="H57" s="98" t="n">
        <x:v>0.2359</x:v>
      </x:c>
      <x:c r="I57" s="98" t="n">
        <x:v>0.6926833333333333</x:v>
      </x:c>
      <x:c r="J57" s="90" t="str">
        <x:v>Low</x:v>
      </x:c>
      <x:c r="K57" s="90" t="str">
        <x:v>Big Tech</x:v>
      </x:c>
      <x:c r="L57" s="90" t="str">
        <x:v>Data Science / ML Intern</x:v>
      </x:c>
      <x:c r="M57" s="90" t="str">
        <x:v>Data Science</x:v>
      </x:c>
      <x:c r="N57" s="98" t="n">
        <x:v>0.9</x:v>
      </x:c>
      <x:c r="O57" s="90" t="str">
        <x:v>Strong historical/declared CPT evidence</x:v>
      </x:c>
      <x:c r="P57" s="98" t="n">
        <x:v>0.7991126849690158</x:v>
      </x:c>
      <x:c r="Q57" s="98" t="n">
        <x:v>0.31408456646010485</x:v>
      </x:c>
      <x:c r="R57" s="98" t="n">
        <x:v>0.53375</x:v>
      </x:c>
      <x:c r="S57" s="98" t="n">
        <x:v>0.5</x:v>
      </x:c>
      <x:c r="T57" s="98" t="n">
        <x:v>0.62</x:v>
      </x:c>
      <x:c r="U57" s="98" t="n">
        <x:v>0.5</x:v>
      </x:c>
      <x:c r="V57" s="98" t="n">
        <x:v>0.76</x:v>
      </x:c>
      <x:c r="W57" s="98" t="n">
        <x:v>0.6869565217391305</x:v>
      </x:c>
      <x:c r="X57" s="90" t="str">
        <x:v>C</x:v>
      </x:c>
      <x:c r="Y57" s="90" t="n">
        <x:v>1</x:v>
      </x:c>
      <x:c r="Z57" s="90" t="str">
        <x:v>ALSAC data science, propensity modeling, DataRobot, Python/SQL and ML research form a clear progression.</x:v>
      </x:c>
      <x:c r="AA57" s="90" t="str">
        <x:v>Exact posting still controls CPT eligibility; Observed roles show graduate-degree skew; LinkedIn network evidence pending</x:v>
      </x:c>
      <x:c r="AB57" s="90" t="str">
        <x:v>2026: AI/Machine Learning Internship – Canada (undergrad_unknown, adjacent)</x:v>
      </x:c>
      <x:c r="AC57" s="90" t="str">
        <x:v>https://raw.githubusercontent.com/SimplifyJobs/Summer2026-Internships/refs/heads/dev/README-Inactive.md</x:v>
      </x:c>
      <x:c r="AD57" s="90" t="str">
        <x:v>Sep-Nov 2026</x:v>
      </x:c>
      <x:c r="AE57" s="90" t="str">
        <x:v>https://www.qualcomm.com/company/careers/students</x:v>
      </x:c>
    </x:row>
    <x:row r="58" ht="54" customHeight="1">
      <x:c r="A58" s="90" t="n">
        <x:v>54</x:v>
      </x:c>
      <x:c r="B58" s="90" t="str">
        <x:v>Robinhood</x:v>
      </x:c>
      <x:c r="C58" s="90" t="str">
        <x:v>Target</x:v>
      </x:c>
      <x:c r="D58" s="90" t="n">
        <x:v>63</x:v>
      </x:c>
      <x:c r="E58" s="90" t="n">
        <x:v>19</x:v>
      </x:c>
      <x:c r="F58" s="90" t="n">
        <x:v>114</x:v>
      </x:c>
      <x:c r="G58" s="98" t="n">
        <x:v>0.11036666666666667</x:v>
      </x:c>
      <x:c r="H58" s="98" t="n">
        <x:v>0.2865666666666667</x:v>
      </x:c>
      <x:c r="I58" s="98" t="n">
        <x:v>0.6675333333333333</x:v>
      </x:c>
      <x:c r="J58" s="90" t="str">
        <x:v>Low</x:v>
      </x:c>
      <x:c r="K58" s="90" t="str">
        <x:v>Big Tech</x:v>
      </x:c>
      <x:c r="L58" s="90" t="str">
        <x:v>Data Science Intern</x:v>
      </x:c>
      <x:c r="M58" s="90" t="str">
        <x:v>Data Science</x:v>
      </x:c>
      <x:c r="N58" s="98" t="n">
        <x:v>0.82</x:v>
      </x:c>
      <x:c r="O58" s="90" t="str">
        <x:v>Likely workable; verify exact posting</x:v>
      </x:c>
      <x:c r="P58" s="98" t="n">
        <x:v>0.8667079075710682</x:v>
      </x:c>
      <x:c r="Q58" s="98" t="n">
        <x:v>0.7647193838071218</x:v>
      </x:c>
      <x:c r="R58" s="98" t="n">
        <x:v>0.545</x:v>
      </x:c>
      <x:c r="S58" s="98" t="n">
        <x:v>0.5</x:v>
      </x:c>
      <x:c r="T58" s="98" t="n">
        <x:v>0.88</x:v>
      </x:c>
      <x:c r="U58" s="98" t="n">
        <x:v>0.5</x:v>
      </x:c>
      <x:c r="V58" s="98" t="n">
        <x:v>0.76</x:v>
      </x:c>
      <x:c r="W58" s="98" t="n">
        <x:v>0.45838509316770193</x:v>
      </x:c>
      <x:c r="X58" s="90" t="str">
        <x:v>D</x:v>
      </x:c>
      <x:c r="Y58" s="90" t="n">
        <x:v>0</x:v>
      </x:c>
      <x:c r="Z58" s="90" t="str">
        <x:v>ALSAC data science, propensity modeling, DataRobot, Python/SQL and ML research form a clear progression.</x:v>
      </x:c>
      <x:c r="AA58" s="90" t="str">
        <x:v>Exact posting still controls CPT eligibility; Observed roles show graduate-degree skew; No matching public role found in reviewed trackers; LinkedIn network evidence pending</x:v>
      </x:c>
      <x:c r="AB58" s="90" t="str">
        <x:v>No matching role found in reviewed public trackers; treated as missing evidence, not a negative.</x:v>
      </x:c>
      <x:c r="AC58" s="90" t="str"/>
      <x:c r="AD58" s="90" t="str">
        <x:v>Sep-Nov 2026</x:v>
      </x:c>
      <x:c r="AE58" s="90" t="str">
        <x:v>https://careers.robinhood.com/students</x:v>
      </x:c>
    </x:row>
    <x:row r="59" ht="54" customHeight="1">
      <x:c r="A59" s="90" t="n">
        <x:v>55</x:v>
      </x:c>
      <x:c r="B59" s="90" t="str">
        <x:v>Apple</x:v>
      </x:c>
      <x:c r="C59" s="90" t="str">
        <x:v>Target</x:v>
      </x:c>
      <x:c r="D59" s="90" t="n">
        <x:v>65</x:v>
      </x:c>
      <x:c r="E59" s="90" t="n">
        <x:v>24</x:v>
      </x:c>
      <x:c r="F59" s="90" t="n">
        <x:v>112</x:v>
      </x:c>
      <x:c r="G59" s="98" t="n">
        <x:v>0.07686666666666667</x:v>
      </x:c>
      <x:c r="H59" s="98" t="n">
        <x:v>0.24426666666666666</x:v>
      </x:c>
      <x:c r="I59" s="98" t="n">
        <x:v>0.6499166666666667</x:v>
      </x:c>
      <x:c r="J59" s="90" t="str">
        <x:v>Low</x:v>
      </x:c>
      <x:c r="K59" s="90" t="str">
        <x:v>Big Tech</x:v>
      </x:c>
      <x:c r="L59" s="90" t="str">
        <x:v>Data Science / Machine Learning Intern</x:v>
      </x:c>
      <x:c r="M59" s="90" t="str">
        <x:v>Data Science</x:v>
      </x:c>
      <x:c r="N59" s="98" t="n">
        <x:v>0.8300000000000001</x:v>
      </x:c>
      <x:c r="O59" s="90" t="str">
        <x:v>Likely workable; verify exact posting</x:v>
      </x:c>
      <x:c r="P59" s="98" t="n">
        <x:v>0.8693678962199234</x:v>
      </x:c>
      <x:c r="Q59" s="98" t="n">
        <x:v>0.7824526414661555</x:v>
      </x:c>
      <x:c r="R59" s="98" t="n">
        <x:v>0.6338840573390745</x:v>
      </x:c>
      <x:c r="S59" s="98" t="n">
        <x:v>1</x:v>
      </x:c>
      <x:c r="T59" s="98" t="n">
        <x:v>0.92</x:v>
      </x:c>
      <x:c r="U59" s="98" t="n">
        <x:v>0.5</x:v>
      </x:c>
      <x:c r="V59" s="98" t="n">
        <x:v>0.76</x:v>
      </x:c>
      <x:c r="W59" s="98" t="n">
        <x:v>0.22981366459627325</x:v>
      </x:c>
      <x:c r="X59" s="90" t="str">
        <x:v>C</x:v>
      </x:c>
      <x:c r="Y59" s="90" t="n">
        <x:v>2</x:v>
      </x:c>
      <x:c r="Z59" s="90" t="str">
        <x:v>ALSAC data science, propensity modeling, DataRobot, Python/SQL and ML research form a clear progression.</x:v>
      </x:c>
      <x:c r="AA59" s="90" t="str">
        <x:v>Exact posting still controls CPT eligibility; LinkedIn network evidence pending</x:v>
      </x:c>
      <x:c r="AB59" s="90" t="str">
        <x:v>2026: Undergraduate Machine Learning / AI Intern (undergrad, adjacent) | 2027: Software Engineer Intern, Undergrad (undergrad, off_target)</x:v>
      </x:c>
      <x:c r="AC59" s="90" t="str">
        <x:v>https://raw.githubusercontent.com/SimplifyJobs/Summer2026-Internships/refs/heads/dev/README.md | https://raw.githubusercontent.com/vanshb03/Summer2027-Internships/dev/README.md</x:v>
      </x:c>
      <x:c r="AD59" s="90" t="str">
        <x:v>Sep 2026</x:v>
      </x:c>
      <x:c r="AE59" s="90" t="str">
        <x:v>https://www.apple.com/careers/us/students.html</x:v>
      </x:c>
    </x:row>
    <x:row r="60" ht="54" customHeight="1">
      <x:c r="A60" s="90" t="n">
        <x:v>56</x:v>
      </x:c>
      <x:c r="B60" s="90" t="str">
        <x:v>AMD</x:v>
      </x:c>
      <x:c r="C60" s="90" t="str">
        <x:v>Target</x:v>
      </x:c>
      <x:c r="D60" s="90" t="n">
        <x:v>66</x:v>
      </x:c>
      <x:c r="E60" s="90" t="n">
        <x:v>21</x:v>
      </x:c>
      <x:c r="F60" s="90" t="n">
        <x:v>115</x:v>
      </x:c>
      <x:c r="G60" s="98" t="n">
        <x:v>0.09451666666666667</x:v>
      </x:c>
      <x:c r="H60" s="98" t="n">
        <x:v>0.2626833333333333</x:v>
      </x:c>
      <x:c r="I60" s="98" t="n">
        <x:v>0.6390833333333333</x:v>
      </x:c>
      <x:c r="J60" s="90" t="str">
        <x:v>Low</x:v>
      </x:c>
      <x:c r="K60" s="90" t="str">
        <x:v>Big Tech</x:v>
      </x:c>
      <x:c r="L60" s="90" t="str">
        <x:v>Data Science Intern</x:v>
      </x:c>
      <x:c r="M60" s="90" t="str">
        <x:v>Data Science</x:v>
      </x:c>
      <x:c r="N60" s="98" t="n">
        <x:v>0.82</x:v>
      </x:c>
      <x:c r="O60" s="90" t="str">
        <x:v>Likely workable; verify exact posting</x:v>
      </x:c>
      <x:c r="P60" s="98" t="n">
        <x:v>0.8667079075710682</x:v>
      </x:c>
      <x:c r="Q60" s="98" t="n">
        <x:v>0.7647193838071218</x:v>
      </x:c>
      <x:c r="R60" s="98" t="n">
        <x:v>0.545</x:v>
      </x:c>
      <x:c r="S60" s="98" t="n">
        <x:v>0.5</x:v>
      </x:c>
      <x:c r="T60" s="98" t="n">
        <x:v>0.62</x:v>
      </x:c>
      <x:c r="U60" s="98" t="n">
        <x:v>0.5</x:v>
      </x:c>
      <x:c r="V60" s="98" t="n">
        <x:v>0.76</x:v>
      </x:c>
      <x:c r="W60" s="98" t="n">
        <x:v>0.6819875776397516</x:v>
      </x:c>
      <x:c r="X60" s="90" t="str">
        <x:v>D</x:v>
      </x:c>
      <x:c r="Y60" s="90" t="n">
        <x:v>0</x:v>
      </x:c>
      <x:c r="Z60" s="90" t="str">
        <x:v>ALSAC data science, propensity modeling, DataRobot, Python/SQL and ML research form a clear progression.</x:v>
      </x:c>
      <x:c r="AA60" s="90" t="str">
        <x:v>Exact posting still controls CPT eligibility; Observed roles show graduate-degree skew; No matching public role found in reviewed trackers; LinkedIn network evidence pending</x:v>
      </x:c>
      <x:c r="AB60" s="90" t="str">
        <x:v>No matching role found in reviewed public trackers; treated as missing evidence, not a negative.</x:v>
      </x:c>
      <x:c r="AC60" s="90" t="str"/>
      <x:c r="AD60" s="90" t="str">
        <x:v>Sep-Nov 2026</x:v>
      </x:c>
      <x:c r="AE60" s="90" t="str">
        <x:v>https://careers.amd.com/students</x:v>
      </x:c>
    </x:row>
    <x:row r="61" ht="54" customHeight="1">
      <x:c r="A61" s="90" t="n">
        <x:v>57</x:v>
      </x:c>
      <x:c r="B61" s="90" t="str">
        <x:v>Stripe</x:v>
      </x:c>
      <x:c r="C61" s="90" t="str">
        <x:v>Target</x:v>
      </x:c>
      <x:c r="D61" s="90" t="n">
        <x:v>66</x:v>
      </x:c>
      <x:c r="E61" s="90" t="n">
        <x:v>21</x:v>
      </x:c>
      <x:c r="F61" s="90" t="n">
        <x:v>116</x:v>
      </x:c>
      <x:c r="G61" s="98" t="n">
        <x:v>0.0933</x:v>
      </x:c>
      <x:c r="H61" s="98" t="n">
        <x:v>0.25793333333333335</x:v>
      </x:c>
      <x:c r="I61" s="98" t="n">
        <x:v>0.6356333333333334</x:v>
      </x:c>
      <x:c r="J61" s="90" t="str">
        <x:v>Low</x:v>
      </x:c>
      <x:c r="K61" s="90" t="str">
        <x:v>Big Tech</x:v>
      </x:c>
      <x:c r="L61" s="90" t="str">
        <x:v>Data Science Intern</x:v>
      </x:c>
      <x:c r="M61" s="90" t="str">
        <x:v>Data Science</x:v>
      </x:c>
      <x:c r="N61" s="98" t="n">
        <x:v>0.82</x:v>
      </x:c>
      <x:c r="O61" s="90" t="str">
        <x:v>Likely workable; verify exact posting</x:v>
      </x:c>
      <x:c r="P61" s="98" t="n">
        <x:v>0.8667079075710682</x:v>
      </x:c>
      <x:c r="Q61" s="98" t="n">
        <x:v>0.7647193838071218</x:v>
      </x:c>
      <x:c r="R61" s="98" t="n">
        <x:v>0.545</x:v>
      </x:c>
      <x:c r="S61" s="98" t="n">
        <x:v>0.5</x:v>
      </x:c>
      <x:c r="T61" s="98" t="n">
        <x:v>0.88</x:v>
      </x:c>
      <x:c r="U61" s="98" t="n">
        <x:v>0.5</x:v>
      </x:c>
      <x:c r="V61" s="98" t="n">
        <x:v>0.76</x:v>
      </x:c>
      <x:c r="W61" s="98" t="n">
        <x:v>0.4136645962732919</x:v>
      </x:c>
      <x:c r="X61" s="90" t="str">
        <x:v>D</x:v>
      </x:c>
      <x:c r="Y61" s="90" t="n">
        <x:v>0</x:v>
      </x:c>
      <x:c r="Z61" s="90" t="str">
        <x:v>ALSAC data science, propensity modeling, DataRobot, Python/SQL and ML research form a clear progression.</x:v>
      </x:c>
      <x:c r="AA61" s="90" t="str">
        <x:v>Exact posting still controls CPT eligibility; Observed roles show graduate-degree skew; No matching public role found in reviewed trackers; LinkedIn network evidence pending</x:v>
      </x:c>
      <x:c r="AB61" s="90" t="str">
        <x:v>No matching role found in reviewed public trackers; treated as missing evidence, not a negative.</x:v>
      </x:c>
      <x:c r="AC61" s="90" t="str"/>
      <x:c r="AD61" s="90" t="str">
        <x:v>Aug-Oct 2026</x:v>
      </x:c>
      <x:c r="AE61" s="90" t="str">
        <x:v>https://stripe.com/jobs/university</x:v>
      </x:c>
    </x:row>
    <x:row r="62" ht="54" customHeight="1">
      <x:c r="A62" s="90" t="n">
        <x:v>58</x:v>
      </x:c>
      <x:c r="B62" s="90" t="str">
        <x:v>Roblox</x:v>
      </x:c>
      <x:c r="C62" s="90" t="str">
        <x:v>Target</x:v>
      </x:c>
      <x:c r="D62" s="90" t="n">
        <x:v>67</x:v>
      </x:c>
      <x:c r="E62" s="90" t="n">
        <x:v>22</x:v>
      </x:c>
      <x:c r="F62" s="90" t="n">
        <x:v>116</x:v>
      </x:c>
      <x:c r="G62" s="98" t="n">
        <x:v>0.09215</x:v>
      </x:c>
      <x:c r="H62" s="98" t="n">
        <x:v>0.25475</x:v>
      </x:c>
      <x:c r="I62" s="98" t="n">
        <x:v>0.6298833333333334</x:v>
      </x:c>
      <x:c r="J62" s="90" t="str">
        <x:v>Low</x:v>
      </x:c>
      <x:c r="K62" s="90" t="str">
        <x:v>Big Tech</x:v>
      </x:c>
      <x:c r="L62" s="90" t="str">
        <x:v>Data Science Intern</x:v>
      </x:c>
      <x:c r="M62" s="90" t="str">
        <x:v>Data Science</x:v>
      </x:c>
      <x:c r="N62" s="98" t="n">
        <x:v>0.82</x:v>
      </x:c>
      <x:c r="O62" s="90" t="str">
        <x:v>Likely workable; verify exact posting</x:v>
      </x:c>
      <x:c r="P62" s="98" t="n">
        <x:v>0.8667079075710682</x:v>
      </x:c>
      <x:c r="Q62" s="98" t="n">
        <x:v>0.7647193838071218</x:v>
      </x:c>
      <x:c r="R62" s="98" t="n">
        <x:v>0.545</x:v>
      </x:c>
      <x:c r="S62" s="98" t="n">
        <x:v>0.5</x:v>
      </x:c>
      <x:c r="T62" s="98" t="n">
        <x:v>0.88</x:v>
      </x:c>
      <x:c r="U62" s="98" t="n">
        <x:v>0.5</x:v>
      </x:c>
      <x:c r="V62" s="98" t="n">
        <x:v>0.76</x:v>
      </x:c>
      <x:c r="W62" s="98" t="n">
        <x:v>0.40869565217391307</x:v>
      </x:c>
      <x:c r="X62" s="90" t="str">
        <x:v>D</x:v>
      </x:c>
      <x:c r="Y62" s="90" t="n">
        <x:v>0</x:v>
      </x:c>
      <x:c r="Z62" s="90" t="str">
        <x:v>ALSAC data science, propensity modeling, DataRobot, Python/SQL and ML research form a clear progression.</x:v>
      </x:c>
      <x:c r="AA62" s="90" t="str">
        <x:v>Exact posting still controls CPT eligibility; Observed roles show graduate-degree skew; No matching public role found in reviewed trackers; LinkedIn network evidence pending</x:v>
      </x:c>
      <x:c r="AB62" s="90" t="str">
        <x:v>No matching role found in reviewed public trackers; treated as missing evidence, not a negative.</x:v>
      </x:c>
      <x:c r="AC62" s="90" t="str"/>
      <x:c r="AD62" s="90" t="str">
        <x:v>Aug-Oct 2026</x:v>
      </x:c>
      <x:c r="AE62" s="90" t="str">
        <x:v>https://careers.roblox.com/early-career</x:v>
      </x:c>
    </x:row>
    <x:row r="63" ht="54" customHeight="1">
      <x:c r="A63" s="90" t="n">
        <x:v>59</x:v>
      </x:c>
      <x:c r="B63" s="90" t="str">
        <x:v>Netflix</x:v>
      </x:c>
      <x:c r="C63" s="90" t="str">
        <x:v>Target</x:v>
      </x:c>
      <x:c r="D63" s="90" t="n">
        <x:v>69</x:v>
      </x:c>
      <x:c r="E63" s="90" t="n">
        <x:v>25</x:v>
      </x:c>
      <x:c r="F63" s="90" t="n">
        <x:v>115</x:v>
      </x:c>
      <x:c r="G63" s="98" t="n">
        <x:v>0.07305</x:v>
      </x:c>
      <x:c r="H63" s="98" t="n">
        <x:v>0.22736666666666666</x:v>
      </x:c>
      <x:c r="I63" s="98" t="n">
        <x:v>0.61785</x:v>
      </x:c>
      <x:c r="J63" s="90" t="str">
        <x:v>Low</x:v>
      </x:c>
      <x:c r="K63" s="90" t="str">
        <x:v>Big Tech</x:v>
      </x:c>
      <x:c r="L63" s="90" t="str">
        <x:v>Data Science Intern</x:v>
      </x:c>
      <x:c r="M63" s="90" t="str">
        <x:v>Data Science</x:v>
      </x:c>
      <x:c r="N63" s="98" t="n">
        <x:v>0.82</x:v>
      </x:c>
      <x:c r="O63" s="90" t="str">
        <x:v>Likely workable; verify exact posting</x:v>
      </x:c>
      <x:c r="P63" s="98" t="n">
        <x:v>0.9019999999999999</x:v>
      </x:c>
      <x:c r="Q63" s="98" t="n">
        <x:v>1</x:v>
      </x:c>
      <x:c r="R63" s="98" t="n">
        <x:v>0.5624132657377875</x:v>
      </x:c>
      <x:c r="S63" s="98" t="n">
        <x:v>0.75</x:v>
      </x:c>
      <x:c r="T63" s="98" t="n">
        <x:v>0.92</x:v>
      </x:c>
      <x:c r="U63" s="98" t="n">
        <x:v>0.5</x:v>
      </x:c>
      <x:c r="V63" s="98" t="n">
        <x:v>0.76</x:v>
      </x:c>
      <x:c r="W63" s="98" t="n">
        <x:v>0.22484472049689436</x:v>
      </x:c>
      <x:c r="X63" s="90" t="str">
        <x:v>C</x:v>
      </x:c>
      <x:c r="Y63" s="90" t="n">
        <x:v>1</x:v>
      </x:c>
      <x:c r="Z63" s="90" t="str">
        <x:v>ALSAC data science, propensity modeling, DataRobot, Python/SQL and ML research form a clear progression.</x:v>
      </x:c>
      <x:c r="AA63" s="90" t="str">
        <x:v>Exact posting still controls CPT eligibility; LinkedIn network evidence pending</x:v>
      </x:c>
      <x:c r="AB63" s="90" t="str">
        <x:v>2025: Data Visualization Engineer Intern (undergrad_unknown, adjacent)</x:v>
      </x:c>
      <x:c r="AC63" s="90" t="str">
        <x:v>https://raw.githubusercontent.com/SimplifyJobs/Summer2026-Internships/refs/heads/dev/archived/README-2025.md</x:v>
      </x:c>
      <x:c r="AD63" s="90" t="str">
        <x:v>Sep-Nov 2026</x:v>
      </x:c>
      <x:c r="AE63" s="90" t="str">
        <x:v>https://jobs.netflix.com/students</x:v>
      </x:c>
    </x:row>
    <x:row r="64" ht="54" customHeight="1">
      <x:c r="A64" s="90" t="n">
        <x:v>60</x:v>
      </x:c>
      <x:c r="B64" s="90" t="str">
        <x:v>Oliver Wyman</x:v>
      </x:c>
      <x:c r="C64" s="90" t="str">
        <x:v>Target</x:v>
      </x:c>
      <x:c r="D64" s="90" t="n">
        <x:v>69</x:v>
      </x:c>
      <x:c r="E64" s="90" t="n">
        <x:v>23</x:v>
      </x:c>
      <x:c r="F64" s="90" t="n">
        <x:v>118</x:v>
      </x:c>
      <x:c r="G64" s="98" t="n">
        <x:v>0.08538333333333334</x:v>
      </x:c>
      <x:c r="H64" s="98" t="n">
        <x:v>0.24185</x:v>
      </x:c>
      <x:c r="I64" s="98" t="n">
        <x:v>0.614</x:v>
      </x:c>
      <x:c r="J64" s="90" t="str">
        <x:v>Low</x:v>
      </x:c>
      <x:c r="K64" s="90" t="str">
        <x:v>Consulting</x:v>
      </x:c>
      <x:c r="L64" s="90" t="str">
        <x:v>Summer Intern (Consulting/Digital)</x:v>
      </x:c>
      <x:c r="M64" s="90" t="str">
        <x:v>Analytics Consulting</x:v>
      </x:c>
      <x:c r="N64" s="98" t="n">
        <x:v>0.82</x:v>
      </x:c>
      <x:c r="O64" s="90" t="str">
        <x:v>Likely workable; verify exact posting</x:v>
      </x:c>
      <x:c r="P64" s="98" t="n">
        <x:v>0.8047166474464309</x:v>
      </x:c>
      <x:c r="Q64" s="98" t="n">
        <x:v>0.08477764964287206</x:v>
      </x:c>
      <x:c r="R64" s="98" t="n">
        <x:v>0.635</x:v>
      </x:c>
      <x:c r="S64" s="98" t="n">
        <x:v>0.5</x:v>
      </x:c>
      <x:c r="T64" s="98" t="n">
        <x:v>0.8</x:v>
      </x:c>
      <x:c r="U64" s="98" t="n">
        <x:v>0.5</x:v>
      </x:c>
      <x:c r="V64" s="98" t="n">
        <x:v>0.6799999999999999</x:v>
      </x:c>
      <x:c r="W64" s="98" t="n">
        <x:v>0.5478260869565218</x:v>
      </x:c>
      <x:c r="X64" s="90" t="str">
        <x:v>D</x:v>
      </x:c>
      <x:c r="Y64" s="90" t="n">
        <x:v>0</x:v>
      </x:c>
      <x:c r="Z64" s="90" t="str">
        <x:v>Technical analytics plus economics, research and residential leadership support client-facing analytical work.</x:v>
      </x:c>
      <x:c r="AA64" s="90" t="str">
        <x:v>Exact posting still controls CPT eligibility; 3.31 GPA may sit below a preferred threshold; No matching public role found in reviewed trackers; LinkedIn network evidence pending</x:v>
      </x:c>
      <x:c r="AB64" s="90" t="str">
        <x:v>No matching role found in reviewed public trackers; treated as missing evidence, not a negative.</x:v>
      </x:c>
      <x:c r="AC64" s="90" t="str"/>
      <x:c r="AD64" s="90" t="str">
        <x:v>Sep-Oct 2026</x:v>
      </x:c>
      <x:c r="AE64" s="90" t="str">
        <x:v>https://www.oliverwyman.com/careers/entry-level.html</x:v>
      </x:c>
    </x:row>
    <x:row r="65" ht="54" customHeight="1">
      <x:c r="A65" s="90" t="n">
        <x:v>61</x:v>
      </x:c>
      <x:c r="B65" s="90" t="str">
        <x:v>Gartner</x:v>
      </x:c>
      <x:c r="C65" s="90" t="str">
        <x:v>Target</x:v>
      </x:c>
      <x:c r="D65" s="90" t="n">
        <x:v>70</x:v>
      </x:c>
      <x:c r="E65" s="90" t="n">
        <x:v>15</x:v>
      </x:c>
      <x:c r="F65" s="90" t="n">
        <x:v>129</x:v>
      </x:c>
      <x:c r="G65" s="98" t="n">
        <x:v>0.13776666666666668</x:v>
      </x:c>
      <x:c r="H65" s="98" t="n">
        <x:v>0.28181666666666666</x:v>
      </x:c>
      <x:c r="I65" s="98" t="n">
        <x:v>0.5781833333333334</x:v>
      </x:c>
      <x:c r="J65" s="90" t="str">
        <x:v>Low</x:v>
      </x:c>
      <x:c r="K65" s="90" t="str">
        <x:v>Data/Analytics</x:v>
      </x:c>
      <x:c r="L65" s="90" t="str">
        <x:v>Data Analytics Intern</x:v>
      </x:c>
      <x:c r="M65" s="90" t="str">
        <x:v>Data Analytics</x:v>
      </x:c>
      <x:c r="N65" s="98" t="n">
        <x:v>0.62</x:v>
      </x:c>
      <x:c r="O65" s="90" t="str">
        <x:v>Role-specific; verify future-sponsorship wording</x:v>
      </x:c>
      <x:c r="P65" s="98" t="n">
        <x:v>0.919776664817223</x:v>
      </x:c>
      <x:c r="Q65" s="98" t="n">
        <x:v>0.46517776544815315</x:v>
      </x:c>
      <x:c r="R65" s="98" t="n">
        <x:v>0.644</x:v>
      </x:c>
      <x:c r="S65" s="98" t="n">
        <x:v>0.5</x:v>
      </x:c>
      <x:c r="T65" s="98" t="n">
        <x:v>0.92</x:v>
      </x:c>
      <x:c r="U65" s="98" t="n">
        <x:v>0.5</x:v>
      </x:c>
      <x:c r="V65" s="98" t="n">
        <x:v>0.76</x:v>
      </x:c>
      <x:c r="W65" s="98" t="n">
        <x:v>0.6074534161490683</x:v>
      </x:c>
      <x:c r="X65" s="90" t="str">
        <x:v>D</x:v>
      </x:c>
      <x:c r="Y65" s="90" t="n">
        <x:v>0</x:v>
      </x:c>
      <x:c r="Z65" s="90" t="str">
        <x:v>Three analytics internships plus SQL, Python, Tableau, forecasting and segmentation directly match the lane.</x:v>
      </x:c>
      <x:c r="AA65" s="90" t="str">
        <x:v>CPT/future-sponsorship wording must be verified; No matching public role found in reviewed trackers; LinkedIn network evidence pending</x:v>
      </x:c>
      <x:c r="AB65" s="90" t="str">
        <x:v>No matching role found in reviewed public trackers; treated as missing evidence, not a negative.</x:v>
      </x:c>
      <x:c r="AC65" s="90" t="str"/>
      <x:c r="AD65" s="90" t="str">
        <x:v>Sep-Nov 2026</x:v>
      </x:c>
      <x:c r="AE65" s="90" t="str">
        <x:v>https://jobs.gartner.com/students/</x:v>
      </x:c>
    </x:row>
    <x:row r="66" ht="54" customHeight="1">
      <x:c r="A66" s="90" t="n">
        <x:v>62</x:v>
      </x:c>
      <x:c r="B66" s="90" t="str">
        <x:v>BlackRock</x:v>
      </x:c>
      <x:c r="C66" s="90" t="str">
        <x:v>Target</x:v>
      </x:c>
      <x:c r="D66" s="90" t="n">
        <x:v>71</x:v>
      </x:c>
      <x:c r="E66" s="90" t="n">
        <x:v>26</x:v>
      </x:c>
      <x:c r="F66" s="90" t="n">
        <x:v>118</x:v>
      </x:c>
      <x:c r="G66" s="98" t="n">
        <x:v>0.06828333333333333</x:v>
      </x:c>
      <x:c r="H66" s="98" t="n">
        <x:v>0.21335</x:v>
      </x:c>
      <x:c r="I66" s="98" t="n">
        <x:v>0.5907166666666667</x:v>
      </x:c>
      <x:c r="J66" s="90" t="str">
        <x:v>Low</x:v>
      </x:c>
      <x:c r="K66" s="90" t="str">
        <x:v>Finance</x:v>
      </x:c>
      <x:c r="L66" s="90" t="str">
        <x:v>Data Science / Aladdin Summer Analyst</x:v>
      </x:c>
      <x:c r="M66" s="90" t="str">
        <x:v>Data Science</x:v>
      </x:c>
      <x:c r="N66" s="98" t="n">
        <x:v>0.82</x:v>
      </x:c>
      <x:c r="O66" s="90" t="str">
        <x:v>Likely workable; verify exact posting</x:v>
      </x:c>
      <x:c r="P66" s="98" t="n">
        <x:v>0.8044337761190021</x:v>
      </x:c>
      <x:c r="Q66" s="98" t="n">
        <x:v>0.34955850746001393</x:v>
      </x:c>
      <x:c r="R66" s="98" t="n">
        <x:v>0.633604660490544</x:v>
      </x:c>
      <x:c r="S66" s="98" t="n">
        <x:v>1</x:v>
      </x:c>
      <x:c r="T66" s="98" t="n">
        <x:v>0.92</x:v>
      </x:c>
      <x:c r="U66" s="98" t="n">
        <x:v>0.5</x:v>
      </x:c>
      <x:c r="V66" s="98" t="n">
        <x:v>0.64</x:v>
      </x:c>
      <x:c r="W66" s="98" t="n">
        <x:v>0.4037267080745342</x:v>
      </x:c>
      <x:c r="X66" s="90" t="str">
        <x:v>A</x:v>
      </x:c>
      <x:c r="Y66" s="90" t="n">
        <x:v>1</x:v>
      </x:c>
      <x:c r="Z66" s="90" t="str">
        <x:v>ALSAC data science, propensity modeling, DataRobot, Python/SQL and ML research form a clear progression.</x:v>
      </x:c>
      <x:c r="AA66" s="90" t="str">
        <x:v>Exact posting still controls CPT eligibility; 3.31 GPA may sit below a preferred threshold; LinkedIn network evidence pending</x:v>
      </x:c>
      <x:c r="AB66" s="90" t="str">
        <x:v>2027: Summer Internship Program – Analytics &amp; Risk / Analytics &amp; Modeling (undergrad, exact)</x:v>
      </x:c>
      <x:c r="AC66" s="90" t="str">
        <x:v>https://careers.blackrock.com/job/new-york/2027-summer-internship-program-amers/45831/90628276544</x:v>
      </x:c>
      <x:c r="AD66" s="90" t="str">
        <x:v>Aug-Oct 2026</x:v>
      </x:c>
      <x:c r="AE66" s="90" t="str">
        <x:v>https://careers.blackrock.com/early-careers</x:v>
      </x:c>
    </x:row>
    <x:row r="67" ht="54" customHeight="1">
      <x:c r="A67" s="90" t="n">
        <x:v>63</x:v>
      </x:c>
      <x:c r="B67" s="90" t="str">
        <x:v>Nike</x:v>
      </x:c>
      <x:c r="C67" s="90" t="str">
        <x:v>Target</x:v>
      </x:c>
      <x:c r="D67" s="90" t="n">
        <x:v>71</x:v>
      </x:c>
      <x:c r="E67" s="90" t="n">
        <x:v>16</x:v>
      </x:c>
      <x:c r="F67" s="90" t="n">
        <x:v>129</x:v>
      </x:c>
      <x:c r="G67" s="98" t="n">
        <x:v>0.13048333333333334</x:v>
      </x:c>
      <x:c r="H67" s="98" t="n">
        <x:v>0.27345</x:v>
      </x:c>
      <x:c r="I67" s="98" t="n">
        <x:v>0.57035</x:v>
      </x:c>
      <x:c r="J67" s="90" t="str">
        <x:v>Low</x:v>
      </x:c>
      <x:c r="K67" s="90" t="str">
        <x:v>Consumer</x:v>
      </x:c>
      <x:c r="L67" s="90" t="str">
        <x:v>Data Science / Analytics Intern</x:v>
      </x:c>
      <x:c r="M67" s="90" t="str">
        <x:v>Data Science</x:v>
      </x:c>
      <x:c r="N67" s="98" t="n">
        <x:v>0.62</x:v>
      </x:c>
      <x:c r="O67" s="90" t="str">
        <x:v>Role-specific; verify future-sponsorship wording</x:v>
      </x:c>
      <x:c r="P67" s="98" t="n">
        <x:v>0.9198000386875174</x:v>
      </x:c>
      <x:c r="Q67" s="98" t="n">
        <x:v>0.6853335912501147</x:v>
      </x:c>
      <x:c r="R67" s="98" t="n">
        <x:v>0.545</x:v>
      </x:c>
      <x:c r="S67" s="98" t="n">
        <x:v>0.5</x:v>
      </x:c>
      <x:c r="T67" s="98" t="n">
        <x:v>0.8</x:v>
      </x:c>
      <x:c r="U67" s="98" t="n">
        <x:v>0.5</x:v>
      </x:c>
      <x:c r="V67" s="98" t="n">
        <x:v>0.76</x:v>
      </x:c>
      <x:c r="W67" s="98" t="n">
        <x:v>0.8459627329192546</x:v>
      </x:c>
      <x:c r="X67" s="90" t="str">
        <x:v>D</x:v>
      </x:c>
      <x:c r="Y67" s="90" t="n">
        <x:v>0</x:v>
      </x:c>
      <x:c r="Z67" s="90" t="str">
        <x:v>ALSAC data science, propensity modeling, DataRobot, Python/SQL and ML research form a clear progression. Consumer insights and segmentation are especially aligned with his prior work.</x:v>
      </x:c>
      <x:c r="AA67" s="90" t="str">
        <x:v>CPT/future-sponsorship wording must be verified; Observed roles show graduate-degree skew; No matching public role found in reviewed trackers; LinkedIn network evidence pending</x:v>
      </x:c>
      <x:c r="AB67" s="90" t="str">
        <x:v>No matching role found in reviewed public trackers; treated as missing evidence, not a negative.</x:v>
      </x:c>
      <x:c r="AC67" s="90" t="str"/>
      <x:c r="AD67" s="90" t="str">
        <x:v>Sep-Nov 2026</x:v>
      </x:c>
      <x:c r="AE67" s="90" t="str">
        <x:v>https://careers.nike.com/university</x:v>
      </x:c>
    </x:row>
    <x:row r="68" ht="54" customHeight="1">
      <x:c r="A68" s="90" t="n">
        <x:v>64</x:v>
      </x:c>
      <x:c r="B68" s="90" t="str">
        <x:v>Moody's</x:v>
      </x:c>
      <x:c r="C68" s="90" t="str">
        <x:v>Target</x:v>
      </x:c>
      <x:c r="D68" s="90" t="n">
        <x:v>72</x:v>
      </x:c>
      <x:c r="E68" s="90" t="n">
        <x:v>25</x:v>
      </x:c>
      <x:c r="F68" s="90" t="n">
        <x:v>120</x:v>
      </x:c>
      <x:c r="G68" s="98" t="n">
        <x:v>0.07455</x:v>
      </x:c>
      <x:c r="H68" s="98" t="n">
        <x:v>0.2155</x:v>
      </x:c>
      <x:c r="I68" s="98" t="n">
        <x:v>0.5792333333333334</x:v>
      </x:c>
      <x:c r="J68" s="90" t="str">
        <x:v>Low</x:v>
      </x:c>
      <x:c r="K68" s="90" t="str">
        <x:v>Finance/Data</x:v>
      </x:c>
      <x:c r="L68" s="90" t="str">
        <x:v>Data Science / Analytics Intern</x:v>
      </x:c>
      <x:c r="M68" s="90" t="str">
        <x:v>Data Science</x:v>
      </x:c>
      <x:c r="N68" s="98" t="n">
        <x:v>0.82</x:v>
      </x:c>
      <x:c r="O68" s="90" t="str">
        <x:v>Likely workable; verify exact posting</x:v>
      </x:c>
      <x:c r="P68" s="98" t="n">
        <x:v>0.8412925775164521</x:v>
      </x:c>
      <x:c r="Q68" s="98" t="n">
        <x:v>0.5952838501096804</x:v>
      </x:c>
      <x:c r="R68" s="98" t="n">
        <x:v>0.545</x:v>
      </x:c>
      <x:c r="S68" s="98" t="n">
        <x:v>0.5</x:v>
      </x:c>
      <x:c r="T68" s="98" t="n">
        <x:v>0.92</x:v>
      </x:c>
      <x:c r="U68" s="98" t="n">
        <x:v>0.5</x:v>
      </x:c>
      <x:c r="V68" s="98" t="n">
        <x:v>0.76</x:v>
      </x:c>
      <x:c r="W68" s="98" t="n">
        <x:v>0.36894409937888195</x:v>
      </x:c>
      <x:c r="X68" s="90" t="str">
        <x:v>D</x:v>
      </x:c>
      <x:c r="Y68" s="90" t="n">
        <x:v>0</x:v>
      </x:c>
      <x:c r="Z68" s="90" t="str">
        <x:v>ALSAC data science, propensity modeling, DataRobot, Python/SQL and ML research form a clear progression.</x:v>
      </x:c>
      <x:c r="AA68" s="90" t="str">
        <x:v>Exact posting still controls CPT eligibility; Observed roles show graduate-degree skew; No matching public role found in reviewed trackers; LinkedIn network evidence pending</x:v>
      </x:c>
      <x:c r="AB68" s="90" t="str">
        <x:v>No matching role found in reviewed public trackers; treated as missing evidence, not a negative.</x:v>
      </x:c>
      <x:c r="AC68" s="90" t="str"/>
      <x:c r="AD68" s="90" t="str">
        <x:v>Sep-Nov 2026</x:v>
      </x:c>
      <x:c r="AE68" s="90" t="str">
        <x:v>https://careers.moodys.com/students</x:v>
      </x:c>
    </x:row>
    <x:row r="69" ht="54" customHeight="1">
      <x:c r="A69" s="90" t="n">
        <x:v>65</x:v>
      </x:c>
      <x:c r="B69" s="90" t="str">
        <x:v>CVS Health</x:v>
      </x:c>
      <x:c r="C69" s="90" t="str">
        <x:v>Target</x:v>
      </x:c>
      <x:c r="D69" s="90" t="n">
        <x:v>73</x:v>
      </x:c>
      <x:c r="E69" s="90" t="n">
        <x:v>28</x:v>
      </x:c>
      <x:c r="F69" s="90" t="n">
        <x:v>119</x:v>
      </x:c>
      <x:c r="G69" s="98" t="n">
        <x:v>0.05821666666666667</x:v>
      </x:c>
      <x:c r="H69" s="98" t="n">
        <x:v>0.19505</x:v>
      </x:c>
      <x:c r="I69" s="98" t="n">
        <x:v>0.5778833333333333</x:v>
      </x:c>
      <x:c r="J69" s="90" t="str">
        <x:v>Low</x:v>
      </x:c>
      <x:c r="K69" s="90" t="str">
        <x:v>Healthcare</x:v>
      </x:c>
      <x:c r="L69" s="90" t="str">
        <x:v>Data Science / Analytics Intern</x:v>
      </x:c>
      <x:c r="M69" s="90" t="str">
        <x:v>Data Science</x:v>
      </x:c>
      <x:c r="N69" s="98" t="n">
        <x:v>0.82</x:v>
      </x:c>
      <x:c r="O69" s="90" t="str">
        <x:v>Likely workable; verify exact posting</x:v>
      </x:c>
      <x:c r="P69" s="98" t="n">
        <x:v>0.907</x:v>
      </x:c>
      <x:c r="Q69" s="98" t="n">
        <x:v>1</x:v>
      </x:c>
      <x:c r="R69" s="98" t="n">
        <x:v>0.6209946273209599</x:v>
      </x:c>
      <x:c r="S69" s="98" t="n">
        <x:v>1</x:v>
      </x:c>
      <x:c r="T69" s="98" t="n">
        <x:v>0.28</x:v>
      </x:c>
      <x:c r="U69" s="98" t="n">
        <x:v>0.5</x:v>
      </x:c>
      <x:c r="V69" s="98" t="n">
        <x:v>0.76</x:v>
      </x:c>
      <x:c r="W69" s="98" t="n">
        <x:v>0.7565217391304347</x:v>
      </x:c>
      <x:c r="X69" s="90" t="str">
        <x:v>C</x:v>
      </x:c>
      <x:c r="Y69" s="90" t="n">
        <x:v>1</x:v>
      </x:c>
      <x:c r="Z69" s="90" t="str">
        <x:v>ALSAC data science, propensity modeling, DataRobot, Python/SQL and ML research form a clear progression.</x:v>
      </x:c>
      <x:c r="AA69" s="90" t="str">
        <x:v>Exact posting still controls CPT eligibility; Low personal industry preference; LinkedIn network evidence pending</x:v>
      </x:c>
      <x:c r="AB69" s="90" t="str">
        <x:v>2025: Data Science Undergraduate (undergrad, exact)</x:v>
      </x:c>
      <x:c r="AC69" s="90" t="str">
        <x:v>https://raw.githubusercontent.com/SimplifyJobs/Summer2026-Internships/refs/heads/dev/archived/README-2025.md</x:v>
      </x:c>
      <x:c r="AD69" s="90" t="str">
        <x:v>Sep-Nov 2026</x:v>
      </x:c>
      <x:c r="AE69" s="90" t="str">
        <x:v>https://jobs.cvshealth.com/us/en/students</x:v>
      </x:c>
    </x:row>
    <x:row r="70" ht="54" customHeight="1">
      <x:c r="A70" s="90" t="n">
        <x:v>66</x:v>
      </x:c>
      <x:c r="B70" s="90" t="str">
        <x:v>Samsung Research America</x:v>
      </x:c>
      <x:c r="C70" s="90" t="str">
        <x:v>Target</x:v>
      </x:c>
      <x:c r="D70" s="90" t="n">
        <x:v>75</x:v>
      </x:c>
      <x:c r="E70" s="90" t="n">
        <x:v>31</x:v>
      </x:c>
      <x:c r="F70" s="90" t="n">
        <x:v>120</x:v>
      </x:c>
      <x:c r="G70" s="98" t="n">
        <x:v>0.0455</x:v>
      </x:c>
      <x:c r="H70" s="98" t="n">
        <x:v>0.17071666666666666</x:v>
      </x:c>
      <x:c r="I70" s="98" t="n">
        <x:v>0.55195</x:v>
      </x:c>
      <x:c r="J70" s="90" t="str">
        <x:v>Low</x:v>
      </x:c>
      <x:c r="K70" s="90" t="str">
        <x:v>Big Tech</x:v>
      </x:c>
      <x:c r="L70" s="90" t="str">
        <x:v>Data Science / ML Intern</x:v>
      </x:c>
      <x:c r="M70" s="90" t="str">
        <x:v>Data Science</x:v>
      </x:c>
      <x:c r="N70" s="98" t="n">
        <x:v>0.82</x:v>
      </x:c>
      <x:c r="O70" s="90" t="str">
        <x:v>Likely workable; verify exact posting</x:v>
      </x:c>
      <x:c r="P70" s="98" t="n">
        <x:v>0.8023783515315437</x:v>
      </x:c>
      <x:c r="Q70" s="98" t="n">
        <x:v>0.33585567687695816</x:v>
      </x:c>
      <x:c r="R70" s="98" t="n">
        <x:v>0.60825020785133</x:v>
      </x:c>
      <x:c r="S70" s="98" t="n">
        <x:v>0.75</x:v>
      </x:c>
      <x:c r="T70" s="98" t="n">
        <x:v>0.62</x:v>
      </x:c>
      <x:c r="U70" s="98" t="n">
        <x:v>0.5</x:v>
      </x:c>
      <x:c r="V70" s="98" t="n">
        <x:v>0.76</x:v>
      </x:c>
      <x:c r="W70" s="98" t="n">
        <x:v>0.6521739130434783</x:v>
      </x:c>
      <x:c r="X70" s="90" t="str">
        <x:v>C</x:v>
      </x:c>
      <x:c r="Y70" s="90" t="n">
        <x:v>2</x:v>
      </x:c>
      <x:c r="Z70" s="90" t="str">
        <x:v>ALSAC data science, propensity modeling, DataRobot, Python/SQL and ML research form a clear progression.</x:v>
      </x:c>
      <x:c r="AA70" s="90" t="str">
        <x:v>Exact posting still controls CPT eligibility; LinkedIn network evidence pending</x:v>
      </x:c>
      <x:c r="AB70" s="90" t="str">
        <x:v>2026: Machine Learning Engineer Intern (undergrad_unknown, adjacent) | 2026: AI Wireless Research Intern (undergrad_unknown, adjacent)</x:v>
      </x:c>
      <x:c r="AC70" s="90" t="str">
        <x:v>https://raw.githubusercontent.com/SimplifyJobs/Summer2026-Internships/refs/heads/dev/README-Inactive.md</x:v>
      </x:c>
      <x:c r="AD70" s="90" t="str">
        <x:v>Oct-Jan 2027</x:v>
      </x:c>
      <x:c r="AE70" s="90" t="str">
        <x:v>https://sra.samsung.com/careers/</x:v>
      </x:c>
    </x:row>
    <x:row r="71" ht="54" customHeight="1">
      <x:c r="A71" s="90" t="n">
        <x:v>67</x:v>
      </x:c>
      <x:c r="B71" s="90" t="str">
        <x:v>Databricks</x:v>
      </x:c>
      <x:c r="C71" s="90" t="str">
        <x:v>Stretch</x:v>
      </x:c>
      <x:c r="D71" s="90" t="n">
        <x:v>76</x:v>
      </x:c>
      <x:c r="E71" s="90" t="n">
        <x:v>27</x:v>
      </x:c>
      <x:c r="F71" s="90" t="n">
        <x:v>123</x:v>
      </x:c>
      <x:c r="G71" s="98" t="n">
        <x:v>0.06205</x:v>
      </x:c>
      <x:c r="H71" s="98" t="n">
        <x:v>0.189</x:v>
      </x:c>
      <x:c r="I71" s="98" t="n">
        <x:v>0.5426333333333333</x:v>
      </x:c>
      <x:c r="J71" s="90" t="str">
        <x:v>Low</x:v>
      </x:c>
      <x:c r="K71" s="90" t="str">
        <x:v>Big Tech</x:v>
      </x:c>
      <x:c r="L71" s="90" t="str">
        <x:v>Data Science / SWE Intern</x:v>
      </x:c>
      <x:c r="M71" s="90" t="str">
        <x:v>Data Science</x:v>
      </x:c>
      <x:c r="N71" s="98" t="n">
        <x:v>0.82</x:v>
      </x:c>
      <x:c r="O71" s="90" t="str">
        <x:v>Likely workable; verify exact posting</x:v>
      </x:c>
      <x:c r="P71" s="98" t="n">
        <x:v>0.816919733434889</x:v>
      </x:c>
      <x:c r="Q71" s="98" t="n">
        <x:v>0.4327982228992597</x:v>
      </x:c>
      <x:c r="R71" s="98" t="n">
        <x:v>0.545</x:v>
      </x:c>
      <x:c r="S71" s="98" t="n">
        <x:v>0.5</x:v>
      </x:c>
      <x:c r="T71" s="98" t="n">
        <x:v>0.88</x:v>
      </x:c>
      <x:c r="U71" s="98" t="n">
        <x:v>0.5</x:v>
      </x:c>
      <x:c r="V71" s="98" t="n">
        <x:v>0.76</x:v>
      </x:c>
      <x:c r="W71" s="98" t="n">
        <x:v>0.41863354037267075</x:v>
      </x:c>
      <x:c r="X71" s="90" t="str">
        <x:v>D</x:v>
      </x:c>
      <x:c r="Y71" s="90" t="n">
        <x:v>0</x:v>
      </x:c>
      <x:c r="Z71" s="90" t="str">
        <x:v>ALSAC data science, propensity modeling, DataRobot, Python/SQL and ML research form a clear progression.</x:v>
      </x:c>
      <x:c r="AA71" s="90" t="str">
        <x:v>Exact posting still controls CPT eligibility; Observed roles show graduate-degree skew; No matching public role found in reviewed trackers; LinkedIn network evidence pending</x:v>
      </x:c>
      <x:c r="AB71" s="90" t="str">
        <x:v>No matching role found in reviewed public trackers; treated as missing evidence, not a negative.</x:v>
      </x:c>
      <x:c r="AC71" s="90" t="str"/>
      <x:c r="AD71" s="90" t="str">
        <x:v>Opens Jul-Sep 2026 - among earliest. Set alert TODAY.</x:v>
      </x:c>
      <x:c r="AE71" s="90" t="str">
        <x:v>https://www.databricks.com/company/careers/university-recruiting</x:v>
      </x:c>
    </x:row>
    <x:row r="72" ht="54" customHeight="1">
      <x:c r="A72" s="90" t="n">
        <x:v>68</x:v>
      </x:c>
      <x:c r="B72" s="90" t="str">
        <x:v>Deutsche Bank</x:v>
      </x:c>
      <x:c r="C72" s="90" t="str">
        <x:v>Stretch</x:v>
      </x:c>
      <x:c r="D72" s="90" t="n">
        <x:v>76</x:v>
      </x:c>
      <x:c r="E72" s="90" t="n">
        <x:v>28</x:v>
      </x:c>
      <x:c r="F72" s="90" t="n">
        <x:v>123</x:v>
      </x:c>
      <x:c r="G72" s="98" t="n">
        <x:v>0.05733333333333333</x:v>
      </x:c>
      <x:c r="H72" s="98" t="n">
        <x:v>0.18513333333333334</x:v>
      </x:c>
      <x:c r="I72" s="98" t="n">
        <x:v>0.5435666666666666</x:v>
      </x:c>
      <x:c r="J72" s="90" t="str">
        <x:v>Low</x:v>
      </x:c>
      <x:c r="K72" s="90" t="str">
        <x:v>Finance</x:v>
      </x:c>
      <x:c r="L72" s="90" t="str">
        <x:v>Technology / Data Analyst Intern</x:v>
      </x:c>
      <x:c r="M72" s="90" t="str">
        <x:v>Data Analytics</x:v>
      </x:c>
      <x:c r="N72" s="98" t="n">
        <x:v>0.82</x:v>
      </x:c>
      <x:c r="O72" s="90" t="str">
        <x:v>Likely workable; verify exact posting</x:v>
      </x:c>
      <x:c r="P72" s="98" t="n">
        <x:v>0.8704631653001571</x:v>
      </x:c>
      <x:c r="Q72" s="98" t="n">
        <x:v>0.13642110200104762</x:v>
      </x:c>
      <x:c r="R72" s="98" t="n">
        <x:v>0.644</x:v>
      </x:c>
      <x:c r="S72" s="98" t="n">
        <x:v>0.5</x:v>
      </x:c>
      <x:c r="T72" s="98" t="n">
        <x:v>0.76</x:v>
      </x:c>
      <x:c r="U72" s="98" t="n">
        <x:v>0.5</x:v>
      </x:c>
      <x:c r="V72" s="98" t="n">
        <x:v>0.64</x:v>
      </x:c>
      <x:c r="W72" s="98" t="n">
        <x:v>0.3291925465838509</x:v>
      </x:c>
      <x:c r="X72" s="90" t="str">
        <x:v>D</x:v>
      </x:c>
      <x:c r="Y72" s="90" t="n">
        <x:v>0</x:v>
      </x:c>
      <x:c r="Z72" s="90" t="str">
        <x:v>Three analytics internships plus SQL, Python, Tableau, forecasting and segmentation directly match the lane.</x:v>
      </x:c>
      <x:c r="AA72" s="90" t="str">
        <x:v>Exact posting still controls CPT eligibility; 3.31 GPA may sit below a preferred threshold; No matching public role found in reviewed trackers; LinkedIn network evidence pending</x:v>
      </x:c>
      <x:c r="AB72" s="90" t="str">
        <x:v>No matching role found in reviewed public trackers; treated as missing evidence, not a negative.</x:v>
      </x:c>
      <x:c r="AC72" s="90" t="str"/>
      <x:c r="AD72" s="90" t="str">
        <x:v>Aug-Oct 2026</x:v>
      </x:c>
      <x:c r="AE72" s="90" t="str">
        <x:v>https://careers.db.com/students-graduates/</x:v>
      </x:c>
    </x:row>
    <x:row r="73" ht="54" customHeight="1">
      <x:c r="A73" s="90" t="n">
        <x:v>69</x:v>
      </x:c>
      <x:c r="B73" s="90" t="str">
        <x:v>Sony Interactive (PlayStation)</x:v>
      </x:c>
      <x:c r="C73" s="90" t="str">
        <x:v>Stretch</x:v>
      </x:c>
      <x:c r="D73" s="90" t="n">
        <x:v>78</x:v>
      </x:c>
      <x:c r="E73" s="90" t="n">
        <x:v>20</x:v>
      </x:c>
      <x:c r="F73" s="90" t="n">
        <x:v>133</x:v>
      </x:c>
      <x:c r="G73" s="98" t="n">
        <x:v>0.10386666666666666</x:v>
      </x:c>
      <x:c r="H73" s="98" t="n">
        <x:v>0.23238333333333333</x:v>
      </x:c>
      <x:c r="I73" s="98" t="n">
        <x:v>0.5179333333333334</x:v>
      </x:c>
      <x:c r="J73" s="90" t="str">
        <x:v>Low</x:v>
      </x:c>
      <x:c r="K73" s="90" t="str">
        <x:v>Big Tech</x:v>
      </x:c>
      <x:c r="L73" s="90" t="str">
        <x:v>Data Analytics Intern</x:v>
      </x:c>
      <x:c r="M73" s="90" t="str">
        <x:v>Data Analytics</x:v>
      </x:c>
      <x:c r="N73" s="98" t="n">
        <x:v>0.62</x:v>
      </x:c>
      <x:c r="O73" s="90" t="str">
        <x:v>Role-specific; verify future-sponsorship wording</x:v>
      </x:c>
      <x:c r="P73" s="98" t="n">
        <x:v>0.938676388775964</x:v>
      </x:c>
      <x:c r="Q73" s="98" t="n">
        <x:v>0.5911759251730938</x:v>
      </x:c>
      <x:c r="R73" s="98" t="n">
        <x:v>0.644</x:v>
      </x:c>
      <x:c r="S73" s="98" t="n">
        <x:v>0.5</x:v>
      </x:c>
      <x:c r="T73" s="98" t="n">
        <x:v>0.88</x:v>
      </x:c>
      <x:c r="U73" s="98" t="n">
        <x:v>0.5</x:v>
      </x:c>
      <x:c r="V73" s="98" t="n">
        <x:v>0.76</x:v>
      </x:c>
      <x:c r="W73" s="98" t="n">
        <x:v>0.5031055900621119</x:v>
      </x:c>
      <x:c r="X73" s="90" t="str">
        <x:v>D</x:v>
      </x:c>
      <x:c r="Y73" s="90" t="n">
        <x:v>0</x:v>
      </x:c>
      <x:c r="Z73" s="90" t="str">
        <x:v>Three analytics internships plus SQL, Python, Tableau, forecasting and segmentation directly match the lane.</x:v>
      </x:c>
      <x:c r="AA73" s="90" t="str">
        <x:v>CPT/future-sponsorship wording must be verified; No matching public role found in reviewed trackers; LinkedIn network evidence pending</x:v>
      </x:c>
      <x:c r="AB73" s="90" t="str">
        <x:v>No matching role found in reviewed public trackers; treated as missing evidence, not a negative.</x:v>
      </x:c>
      <x:c r="AC73" s="90" t="str"/>
      <x:c r="AD73" s="90" t="str">
        <x:v>Oct-Dec 2026</x:v>
      </x:c>
      <x:c r="AE73" s="90" t="str">
        <x:v>https://www.playstation.com/en-us/corporate/playstation-careers/</x:v>
      </x:c>
    </x:row>
    <x:row r="74" ht="54" customHeight="1">
      <x:c r="A74" s="90" t="n">
        <x:v>70</x:v>
      </x:c>
      <x:c r="B74" s="90" t="str">
        <x:v>Epsilon</x:v>
      </x:c>
      <x:c r="C74" s="90" t="str">
        <x:v>Stretch</x:v>
      </x:c>
      <x:c r="D74" s="90" t="n">
        <x:v>80</x:v>
      </x:c>
      <x:c r="E74" s="90" t="n">
        <x:v>20</x:v>
      </x:c>
      <x:c r="F74" s="90" t="n">
        <x:v>134</x:v>
      </x:c>
      <x:c r="G74" s="98" t="n">
        <x:v>0.10475</x:v>
      </x:c>
      <x:c r="H74" s="98" t="n">
        <x:v>0.22593333333333335</x:v>
      </x:c>
      <x:c r="I74" s="98" t="n">
        <x:v>0.5064833333333333</x:v>
      </x:c>
      <x:c r="J74" s="90" t="str">
        <x:v>Low</x:v>
      </x:c>
      <x:c r="K74" s="90" t="str">
        <x:v>Data/Marketing</x:v>
      </x:c>
      <x:c r="L74" s="90" t="str">
        <x:v>Data Science Intern</x:v>
      </x:c>
      <x:c r="M74" s="90" t="str">
        <x:v>Data Science</x:v>
      </x:c>
      <x:c r="N74" s="98" t="n">
        <x:v>0.62</x:v>
      </x:c>
      <x:c r="O74" s="90" t="str">
        <x:v>Role-specific; verify future-sponsorship wording</x:v>
      </x:c>
      <x:c r="P74" s="98" t="n">
        <x:v>0.8430140422891099</x:v>
      </x:c>
      <x:c r="Q74" s="98" t="n">
        <x:v>0.40676028192739827</x:v>
      </x:c>
      <x:c r="R74" s="98" t="n">
        <x:v>0.545</x:v>
      </x:c>
      <x:c r="S74" s="98" t="n">
        <x:v>0.5</x:v>
      </x:c>
      <x:c r="T74" s="98" t="n">
        <x:v>0.92</x:v>
      </x:c>
      <x:c r="U74" s="98" t="n">
        <x:v>0.5</x:v>
      </x:c>
      <x:c r="V74" s="98" t="n">
        <x:v>0.76</x:v>
      </x:c>
      <x:c r="W74" s="98" t="n">
        <x:v>0.8012422360248447</x:v>
      </x:c>
      <x:c r="X74" s="90" t="str">
        <x:v>D</x:v>
      </x:c>
      <x:c r="Y74" s="90" t="n">
        <x:v>0</x:v>
      </x:c>
      <x:c r="Z74" s="90" t="str">
        <x:v>ALSAC data science, propensity modeling, DataRobot, Python/SQL and ML research form a clear progression.</x:v>
      </x:c>
      <x:c r="AA74" s="90" t="str">
        <x:v>CPT/future-sponsorship wording must be verified; Observed roles show graduate-degree skew; No matching public role found in reviewed trackers; LinkedIn network evidence pending</x:v>
      </x:c>
      <x:c r="AB74" s="90" t="str">
        <x:v>No matching role found in reviewed public trackers; treated as missing evidence, not a negative.</x:v>
      </x:c>
      <x:c r="AC74" s="90" t="str"/>
      <x:c r="AD74" s="90" t="str">
        <x:v>Oct-Dec 2026</x:v>
      </x:c>
      <x:c r="AE74" s="90" t="str">
        <x:v>https://www.epsilon.com/us/careers</x:v>
      </x:c>
    </x:row>
    <x:row r="75" ht="54" customHeight="1">
      <x:c r="A75" s="90" t="n">
        <x:v>71</x:v>
      </x:c>
      <x:c r="B75" s="90" t="str">
        <x:v>Meta</x:v>
      </x:c>
      <x:c r="C75" s="90" t="str">
        <x:v>Stretch</x:v>
      </x:c>
      <x:c r="D75" s="90" t="n">
        <x:v>81</x:v>
      </x:c>
      <x:c r="E75" s="90" t="n">
        <x:v>39</x:v>
      </x:c>
      <x:c r="F75" s="90" t="n">
        <x:v>119</x:v>
      </x:c>
      <x:c r="G75" s="98" t="n">
        <x:v>0.02165</x:v>
      </x:c>
      <x:c r="H75" s="98" t="n">
        <x:v>0.11108333333333334</x:v>
      </x:c>
      <x:c r="I75" s="98" t="n">
        <x:v>0.49465</x:v>
      </x:c>
      <x:c r="J75" s="90" t="str">
        <x:v>Low</x:v>
      </x:c>
      <x:c r="K75" s="90" t="str">
        <x:v>Big Tech</x:v>
      </x:c>
      <x:c r="L75" s="90" t="str">
        <x:v>Data Science Intern (Analytics)</x:v>
      </x:c>
      <x:c r="M75" s="90" t="str">
        <x:v>Data Science</x:v>
      </x:c>
      <x:c r="N75" s="98" t="n">
        <x:v>0.9</x:v>
      </x:c>
      <x:c r="O75" s="90" t="str">
        <x:v>Strong historical/declared CPT evidence</x:v>
      </x:c>
      <x:c r="P75" s="98" t="n">
        <x:v>0.8014719854579924</x:v>
      </x:c>
      <x:c r="Q75" s="98" t="n">
        <x:v>0.329813236386616</x:v>
      </x:c>
      <x:c r="R75" s="98" t="n">
        <x:v>0.465992434152383</x:v>
      </x:c>
      <x:c r="S75" s="98" t="n">
        <x:v>0.05</x:v>
      </x:c>
      <x:c r="T75" s="98" t="n">
        <x:v>0.92</x:v>
      </x:c>
      <x:c r="U75" s="98" t="n">
        <x:v>0.5</x:v>
      </x:c>
      <x:c r="V75" s="98" t="n">
        <x:v>0.76</x:v>
      </x:c>
      <x:c r="W75" s="98" t="n">
        <x:v>0.23478260869565215</x:v>
      </x:c>
      <x:c r="X75" s="90" t="str">
        <x:v>C</x:v>
      </x:c>
      <x:c r="Y75" s="90" t="n">
        <x:v>1</x:v>
      </x:c>
      <x:c r="Z75" s="90" t="str">
        <x:v>ALSAC data science, propensity modeling, DataRobot, Python/SQL and ML research form a clear progression.</x:v>
      </x:c>
      <x:c r="AA75" s="90" t="str">
        <x:v>Exact posting still controls CPT eligibility; Observed roles show graduate-degree skew; LinkedIn network evidence pending</x:v>
      </x:c>
      <x:c r="AB75" s="90" t="str">
        <x:v>2025: Data Scientist Intern – Product Analytics (phd_only, exact)</x:v>
      </x:c>
      <x:c r="AC75" s="90" t="str">
        <x:v>https://raw.githubusercontent.com/SimplifyJobs/Summer2026-Internships/refs/heads/dev/archived/README-2025.md</x:v>
      </x:c>
      <x:c r="AD75" s="90" t="str">
        <x:v>Sep-Oct 2026</x:v>
      </x:c>
      <x:c r="AE75" s="90" t="str">
        <x:v>https://www.metacareers.com/careerprograms/students</x:v>
      </x:c>
    </x:row>
    <x:row r="76" ht="54" customHeight="1">
      <x:c r="A76" s="90" t="n">
        <x:v>72</x:v>
      </x:c>
      <x:c r="B76" s="90" t="str">
        <x:v>Goldman Sachs</x:v>
      </x:c>
      <x:c r="C76" s="90" t="str">
        <x:v>Stretch</x:v>
      </x:c>
      <x:c r="D76" s="90" t="n">
        <x:v>82</x:v>
      </x:c>
      <x:c r="E76" s="90" t="n">
        <x:v>38</x:v>
      </x:c>
      <x:c r="F76" s="90" t="n">
        <x:v>122</x:v>
      </x:c>
      <x:c r="G76" s="98" t="n">
        <x:v>0.02495</x:v>
      </x:c>
      <x:c r="H76" s="98" t="n">
        <x:v>0.1149</x:v>
      </x:c>
      <x:c r="I76" s="98" t="n">
        <x:v>0.48461666666666664</x:v>
      </x:c>
      <x:c r="J76" s="90" t="str">
        <x:v>Low</x:v>
      </x:c>
      <x:c r="K76" s="90" t="str">
        <x:v>Finance</x:v>
      </x:c>
      <x:c r="L76" s="90" t="str">
        <x:v>Summer Analyst - Engineering / Data (2027 apps open early)</x:v>
      </x:c>
      <x:c r="M76" s="90" t="str">
        <x:v>Business/Strategy Analytics</x:v>
      </x:c>
      <x:c r="N76" s="98" t="n">
        <x:v>0.9</x:v>
      </x:c>
      <x:c r="O76" s="90" t="str">
        <x:v>Strong historical/declared CPT evidence</x:v>
      </x:c>
      <x:c r="P76" s="98" t="n">
        <x:v>0.7869074508804104</x:v>
      </x:c>
      <x:c r="Q76" s="98" t="n">
        <x:v>0.25938300586940205</x:v>
      </x:c>
      <x:c r="R76" s="98" t="n">
        <x:v>0.635</x:v>
      </x:c>
      <x:c r="S76" s="98" t="n">
        <x:v>0.5</x:v>
      </x:c>
      <x:c r="T76" s="98" t="n">
        <x:v>0.76</x:v>
      </x:c>
      <x:c r="U76" s="98" t="n">
        <x:v>0.5</x:v>
      </x:c>
      <x:c r="V76" s="98" t="n">
        <x:v>0.64</x:v>
      </x:c>
      <x:c r="W76" s="98" t="n">
        <x:v>0.2645962732919255</x:v>
      </x:c>
      <x:c r="X76" s="90" t="str">
        <x:v>D</x:v>
      </x:c>
      <x:c r="Y76" s="90" t="n">
        <x:v>0</x:v>
      </x:c>
      <x:c r="Z76" s="90" t="str">
        <x:v>Economics, consumer analytics and Student Leader communication support analytical business decisions.</x:v>
      </x:c>
      <x:c r="AA76" s="90" t="str">
        <x:v>Exact posting still controls CPT eligibility; 3.31 GPA may sit below a preferred threshold; No matching public role found in reviewed trackers; LinkedIn network evidence pending</x:v>
      </x:c>
      <x:c r="AB76" s="90" t="str">
        <x:v>No matching role found in reviewed public trackers; treated as missing evidence, not a negative.</x:v>
      </x:c>
      <x:c r="AC76" s="90" t="str"/>
      <x:c r="AD76" s="90" t="str">
        <x:v>Opens ~early Jul 2026; division deadlines Sep-Oct. Apply week 1.</x:v>
      </x:c>
      <x:c r="AE76" s="90" t="str">
        <x:v>https://www.goldmansachs.com/careers/students</x:v>
      </x:c>
    </x:row>
    <x:row r="77" ht="54" customHeight="1">
      <x:c r="A77" s="90" t="n">
        <x:v>73</x:v>
      </x:c>
      <x:c r="B77" s="90" t="str">
        <x:v>McKinsey &amp; Company</x:v>
      </x:c>
      <x:c r="C77" s="90" t="str">
        <x:v>Stretch</x:v>
      </x:c>
      <x:c r="D77" s="90" t="n">
        <x:v>82</x:v>
      </x:c>
      <x:c r="E77" s="90" t="n">
        <x:v>33</x:v>
      </x:c>
      <x:c r="F77" s="90" t="n">
        <x:v>126</x:v>
      </x:c>
      <x:c r="G77" s="98" t="n">
        <x:v>0.04276666666666667</x:v>
      </x:c>
      <x:c r="H77" s="98" t="n">
        <x:v>0.14898333333333333</x:v>
      </x:c>
      <x:c r="I77" s="98" t="n">
        <x:v>0.4872666666666667</x:v>
      </x:c>
      <x:c r="J77" s="90" t="str">
        <x:v>Low</x:v>
      </x:c>
      <x:c r="K77" s="90" t="str">
        <x:v>Consulting</x:v>
      </x:c>
      <x:c r="L77" s="90" t="str">
        <x:v>Data Science / Analytics Intern (QuantumBlack)</x:v>
      </x:c>
      <x:c r="M77" s="90" t="str">
        <x:v>Analytics Consulting</x:v>
      </x:c>
      <x:c r="N77" s="98" t="n">
        <x:v>0.82</x:v>
      </x:c>
      <x:c r="O77" s="90" t="str">
        <x:v>Likely workable; verify exact posting</x:v>
      </x:c>
      <x:c r="P77" s="98" t="n">
        <x:v>0.8381551354382215</x:v>
      </x:c>
      <x:c r="Q77" s="98" t="n">
        <x:v>0.3077009029214764</x:v>
      </x:c>
      <x:c r="R77" s="98" t="n">
        <x:v>0.635</x:v>
      </x:c>
      <x:c r="S77" s="98" t="n">
        <x:v>0.5</x:v>
      </x:c>
      <x:c r="T77" s="98" t="n">
        <x:v>0.8</x:v>
      </x:c>
      <x:c r="U77" s="98" t="n">
        <x:v>0.5</x:v>
      </x:c>
      <x:c r="V77" s="98" t="n">
        <x:v>0.6799999999999999</x:v>
      </x:c>
      <x:c r="W77" s="98" t="n">
        <x:v>0.28447204968944095</x:v>
      </x:c>
      <x:c r="X77" s="90" t="str">
        <x:v>D</x:v>
      </x:c>
      <x:c r="Y77" s="90" t="n">
        <x:v>0</x:v>
      </x:c>
      <x:c r="Z77" s="90" t="str">
        <x:v>Technical analytics plus economics, research and residential leadership support client-facing analytical work.</x:v>
      </x:c>
      <x:c r="AA77" s="90" t="str">
        <x:v>Exact posting still controls CPT eligibility; 3.31 GPA may sit below a preferred threshold; No matching public role found in reviewed trackers; LinkedIn network evidence pending</x:v>
      </x:c>
      <x:c r="AB77" s="90" t="str">
        <x:v>No matching role found in reviewed public trackers; treated as missing evidence, not a negative.</x:v>
      </x:c>
      <x:c r="AC77" s="90" t="str"/>
      <x:c r="AD77" s="90" t="str">
        <x:v>Sep-Nov 2026 (Sophomore/Junior programs earlier)</x:v>
      </x:c>
      <x:c r="AE77" s="90" t="str">
        <x:v>https://www.mckinsey.com/careers/students</x:v>
      </x:c>
    </x:row>
    <x:row r="78" ht="54" customHeight="1">
      <x:c r="A78" s="90" t="n">
        <x:v>74</x:v>
      </x:c>
      <x:c r="B78" s="90" t="str">
        <x:v>NVIDIA</x:v>
      </x:c>
      <x:c r="C78" s="90" t="str">
        <x:v>Stretch</x:v>
      </x:c>
      <x:c r="D78" s="90" t="n">
        <x:v>82</x:v>
      </x:c>
      <x:c r="E78" s="90" t="n">
        <x:v>33</x:v>
      </x:c>
      <x:c r="F78" s="90" t="n">
        <x:v>127</x:v>
      </x:c>
      <x:c r="G78" s="98" t="n">
        <x:v>0.041716666666666666</x:v>
      </x:c>
      <x:c r="H78" s="98" t="n">
        <x:v>0.1482</x:v>
      </x:c>
      <x:c r="I78" s="98" t="n">
        <x:v>0.4859833333333333</x:v>
      </x:c>
      <x:c r="J78" s="90" t="str">
        <x:v>Low</x:v>
      </x:c>
      <x:c r="K78" s="90" t="str">
        <x:v>Big Tech</x:v>
      </x:c>
      <x:c r="L78" s="90" t="str">
        <x:v>Data Science / Analytics Intern</x:v>
      </x:c>
      <x:c r="M78" s="90" t="str">
        <x:v>Data Science</x:v>
      </x:c>
      <x:c r="N78" s="98" t="n">
        <x:v>0.82</x:v>
      </x:c>
      <x:c r="O78" s="90" t="str">
        <x:v>Likely workable; verify exact posting</x:v>
      </x:c>
      <x:c r="P78" s="98" t="n">
        <x:v>0.8867386486719564</x:v>
      </x:c>
      <x:c r="Q78" s="98" t="n">
        <x:v>0.898257657813042</x:v>
      </x:c>
      <x:c r="R78" s="98" t="n">
        <x:v>0.545</x:v>
      </x:c>
      <x:c r="S78" s="98" t="n">
        <x:v>0.5</x:v>
      </x:c>
      <x:c r="T78" s="98" t="n">
        <x:v>0.62</x:v>
      </x:c>
      <x:c r="U78" s="98" t="n">
        <x:v>0.5</x:v>
      </x:c>
      <x:c r="V78" s="98" t="n">
        <x:v>0.76</x:v>
      </x:c>
      <x:c r="W78" s="98" t="n">
        <x:v>0.42857142857142855</x:v>
      </x:c>
      <x:c r="X78" s="90" t="str">
        <x:v>D</x:v>
      </x:c>
      <x:c r="Y78" s="90" t="n">
        <x:v>0</x:v>
      </x:c>
      <x:c r="Z78" s="90" t="str">
        <x:v>ALSAC data science, propensity modeling, DataRobot, Python/SQL and ML research form a clear progression.</x:v>
      </x:c>
      <x:c r="AA78" s="90" t="str">
        <x:v>Exact posting still controls CPT eligibility; Observed roles show graduate-degree skew; No matching public role found in reviewed trackers; LinkedIn network evidence pending</x:v>
      </x:c>
      <x:c r="AB78" s="90" t="str">
        <x:v>No matching role found in reviewed public trackers; treated as missing evidence, not a negative.</x:v>
      </x:c>
      <x:c r="AC78" s="90" t="str"/>
      <x:c r="AD78" s="90" t="str">
        <x:v>Aug-Oct 2026</x:v>
      </x:c>
      <x:c r="AE78" s="90" t="str">
        <x:v>https://www.nvidia.com/en-us/about-nvidia/careers/university-recruiting/</x:v>
      </x:c>
    </x:row>
    <x:row r="79" ht="54" customHeight="1">
      <x:c r="A79" s="90" t="n">
        <x:v>75</x:v>
      </x:c>
      <x:c r="B79" s="90" t="str">
        <x:v>Carilion Clinic</x:v>
      </x:c>
      <x:c r="C79" s="90" t="str">
        <x:v>Stretch</x:v>
      </x:c>
      <x:c r="D79" s="90" t="n">
        <x:v>82</x:v>
      </x:c>
      <x:c r="E79" s="90" t="n">
        <x:v>25</x:v>
      </x:c>
      <x:c r="F79" s="90" t="n">
        <x:v>133</x:v>
      </x:c>
      <x:c r="G79" s="98" t="n">
        <x:v>0.07835</x:v>
      </x:c>
      <x:c r="H79" s="98" t="n">
        <x:v>0.19601666666666667</x:v>
      </x:c>
      <x:c r="I79" s="98" t="n">
        <x:v>0.48591666666666666</x:v>
      </x:c>
      <x:c r="J79" s="90" t="str">
        <x:v>Low</x:v>
      </x:c>
      <x:c r="K79" s="90" t="str">
        <x:v>Healthcare (VA)</x:v>
      </x:c>
      <x:c r="L79" s="90" t="str">
        <x:v>Data Analytics Intern</x:v>
      </x:c>
      <x:c r="M79" s="90" t="str">
        <x:v>Data Analytics</x:v>
      </x:c>
      <x:c r="N79" s="98" t="n">
        <x:v>0.62</x:v>
      </x:c>
      <x:c r="O79" s="90" t="str">
        <x:v>Role-specific; verify future-sponsorship wording</x:v>
      </x:c>
      <x:c r="P79" s="98" t="n">
        <x:v>1</x:v>
      </x:c>
      <x:c r="Q79" s="98" t="n">
        <x:v>1</x:v>
      </x:c>
      <x:c r="R79" s="98" t="n">
        <x:v>0.644</x:v>
      </x:c>
      <x:c r="S79" s="98" t="n">
        <x:v>0.5</x:v>
      </x:c>
      <x:c r="T79" s="98" t="n">
        <x:v>0.28</x:v>
      </x:c>
      <x:c r="U79" s="98" t="n">
        <x:v>0.62</x:v>
      </x:c>
      <x:c r="V79" s="98" t="n">
        <x:v>0.76</x:v>
      </x:c>
      <x:c r="W79" s="98" t="n">
        <x:v>0.9155279503105589</x:v>
      </x:c>
      <x:c r="X79" s="90" t="str">
        <x:v>D</x:v>
      </x:c>
      <x:c r="Y79" s="90" t="n">
        <x:v>0</x:v>
      </x:c>
      <x:c r="Z79" s="90" t="str">
        <x:v>Three analytics internships plus SQL, Python, Tableau, forecasting and segmentation directly match the lane.</x:v>
      </x:c>
      <x:c r="AA79" s="90" t="str">
        <x:v>CPT/future-sponsorship wording must be verified; Low personal industry preference; No matching public role found in reviewed trackers</x:v>
      </x:c>
      <x:c r="AB79" s="90" t="str">
        <x:v>No matching role found in reviewed public trackers; treated as missing evidence, not a negative.</x:v>
      </x:c>
      <x:c r="AC79" s="90" t="str"/>
      <x:c r="AD79" s="90" t="str">
        <x:v>Oct-Jan 2027</x:v>
      </x:c>
      <x:c r="AE79" s="90" t="str">
        <x:v>https://jobs.carilionclinic.org/</x:v>
      </x:c>
    </x:row>
    <x:row r="80" ht="54" customHeight="1">
      <x:c r="A80" s="90" t="n">
        <x:v>76</x:v>
      </x:c>
      <x:c r="B80" s="90" t="str">
        <x:v>TikTok</x:v>
      </x:c>
      <x:c r="C80" s="90" t="str">
        <x:v>Stretch</x:v>
      </x:c>
      <x:c r="D80" s="90" t="n">
        <x:v>83</x:v>
      </x:c>
      <x:c r="E80" s="90" t="n">
        <x:v>33</x:v>
      </x:c>
      <x:c r="F80" s="90" t="n">
        <x:v>128</x:v>
      </x:c>
      <x:c r="G80" s="98" t="n">
        <x:v>0.04251666666666667</x:v>
      </x:c>
      <x:c r="H80" s="98" t="n">
        <x:v>0.1449</x:v>
      </x:c>
      <x:c r="I80" s="98" t="n">
        <x:v>0.47376666666666667</x:v>
      </x:c>
      <x:c r="J80" s="90" t="str">
        <x:v>Low</x:v>
      </x:c>
      <x:c r="K80" s="90" t="str">
        <x:v>Big Tech</x:v>
      </x:c>
      <x:c r="L80" s="90" t="str">
        <x:v>Data Scientist Intern (BS/MS)</x:v>
      </x:c>
      <x:c r="M80" s="90" t="str">
        <x:v>Data Science</x:v>
      </x:c>
      <x:c r="N80" s="98" t="n">
        <x:v>0.82</x:v>
      </x:c>
      <x:c r="O80" s="90" t="str">
        <x:v>Likely workable; verify exact posting</x:v>
      </x:c>
      <x:c r="P80" s="98" t="n">
        <x:v>0.781871363638776</x:v>
      </x:c>
      <x:c r="Q80" s="98" t="n">
        <x:v>0.19914242425850637</x:v>
      </x:c>
      <x:c r="R80" s="98" t="n">
        <x:v>0.545</x:v>
      </x:c>
      <x:c r="S80" s="98" t="n">
        <x:v>0.5</x:v>
      </x:c>
      <x:c r="T80" s="98" t="n">
        <x:v>0.88</x:v>
      </x:c>
      <x:c r="U80" s="98" t="n">
        <x:v>0.5</x:v>
      </x:c>
      <x:c r="V80" s="98" t="n">
        <x:v>0.76</x:v>
      </x:c>
      <x:c r="W80" s="98" t="n">
        <x:v>0.4236024844720497</x:v>
      </x:c>
      <x:c r="X80" s="90" t="str">
        <x:v>D</x:v>
      </x:c>
      <x:c r="Y80" s="90" t="n">
        <x:v>0</x:v>
      </x:c>
      <x:c r="Z80" s="90" t="str">
        <x:v>ALSAC data science, propensity modeling, DataRobot, Python/SQL and ML research form a clear progression.</x:v>
      </x:c>
      <x:c r="AA80" s="90" t="str">
        <x:v>Exact posting still controls CPT eligibility; Observed roles show graduate-degree skew; No matching public role found in reviewed trackers; LinkedIn network evidence pending</x:v>
      </x:c>
      <x:c r="AB80" s="90" t="str">
        <x:v>No matching role found in reviewed public trackers; treated as missing evidence, not a negative.</x:v>
      </x:c>
      <x:c r="AC80" s="90" t="str"/>
      <x:c r="AD80" s="90" t="str">
        <x:v>Posts continuously Aug onward - check monthly.</x:v>
      </x:c>
      <x:c r="AE80" s="90" t="str">
        <x:v>https://lifeattiktok.com/search?recruitment_id_list=201</x:v>
      </x:c>
    </x:row>
    <x:row r="81" ht="54" customHeight="1">
      <x:c r="A81" s="90" t="n">
        <x:v>77</x:v>
      </x:c>
      <x:c r="B81" s="90" t="str">
        <x:v>Accenture</x:v>
      </x:c>
      <x:c r="C81" s="90" t="str">
        <x:v>Stretch</x:v>
      </x:c>
      <x:c r="D81" s="90" t="n">
        <x:v>83</x:v>
      </x:c>
      <x:c r="E81" s="90" t="n">
        <x:v>23</x:v>
      </x:c>
      <x:c r="F81" s="90" t="n">
        <x:v>135</x:v>
      </x:c>
      <x:c r="G81" s="98" t="n">
        <x:v>0.08685</x:v>
      </x:c>
      <x:c r="H81" s="98" t="n">
        <x:v>0.20533333333333334</x:v>
      </x:c>
      <x:c r="I81" s="98" t="n">
        <x:v>0.48318333333333335</x:v>
      </x:c>
      <x:c r="J81" s="90" t="str">
        <x:v>Low</x:v>
      </x:c>
      <x:c r="K81" s="90" t="str">
        <x:v>Consulting</x:v>
      </x:c>
      <x:c r="L81" s="90" t="str">
        <x:v>Data Science / Analytics Summer Analyst</x:v>
      </x:c>
      <x:c r="M81" s="90" t="str">
        <x:v>Analytics Consulting</x:v>
      </x:c>
      <x:c r="N81" s="98" t="n">
        <x:v>0.62</x:v>
      </x:c>
      <x:c r="O81" s="90" t="str">
        <x:v>Role-specific; verify future-sponsorship wording</x:v>
      </x:c>
      <x:c r="P81" s="98" t="n">
        <x:v>0.8161688396979273</x:v>
      </x:c>
      <x:c r="Q81" s="98" t="n">
        <x:v>0.1611255979861819</x:v>
      </x:c>
      <x:c r="R81" s="98" t="n">
        <x:v>0.635</x:v>
      </x:c>
      <x:c r="S81" s="98" t="n">
        <x:v>0.5</x:v>
      </x:c>
      <x:c r="T81" s="98" t="n">
        <x:v>0.8</x:v>
      </x:c>
      <x:c r="U81" s="98" t="n">
        <x:v>0.5</x:v>
      </x:c>
      <x:c r="V81" s="98" t="n">
        <x:v>0.6799999999999999</x:v>
      </x:c>
      <x:c r="W81" s="98" t="n">
        <x:v>0.8956521739130435</x:v>
      </x:c>
      <x:c r="X81" s="90" t="str">
        <x:v>D</x:v>
      </x:c>
      <x:c r="Y81" s="90" t="n">
        <x:v>0</x:v>
      </x:c>
      <x:c r="Z81" s="90" t="str">
        <x:v>Technical analytics plus economics, research and residential leadership support client-facing analytical work.</x:v>
      </x:c>
      <x:c r="AA81" s="90" t="str">
        <x:v>CPT/future-sponsorship wording must be verified; 3.31 GPA may sit below a preferred threshold; No matching public role found in reviewed trackers; LinkedIn network evidence pending</x:v>
      </x:c>
      <x:c r="AB81" s="90" t="str">
        <x:v>No matching role found in reviewed public trackers; treated as missing evidence, not a negative.</x:v>
      </x:c>
      <x:c r="AC81" s="90" t="str"/>
      <x:c r="AD81" s="90" t="str">
        <x:v>Aug-Oct 2026</x:v>
      </x:c>
      <x:c r="AE81" s="90" t="str">
        <x:v>https://www.accenture.com/us-en/careers/local/entry-level</x:v>
      </x:c>
    </x:row>
    <x:row r="82" ht="54" customHeight="1">
      <x:c r="A82" s="90" t="n">
        <x:v>78</x:v>
      </x:c>
      <x:c r="B82" s="90" t="str">
        <x:v>J.P. Morgan</x:v>
      </x:c>
      <x:c r="C82" s="90" t="str">
        <x:v>Stretch</x:v>
      </x:c>
      <x:c r="D82" s="90" t="n">
        <x:v>84</x:v>
      </x:c>
      <x:c r="E82" s="90" t="n">
        <x:v>34</x:v>
      </x:c>
      <x:c r="F82" s="90" t="n">
        <x:v>127</x:v>
      </x:c>
      <x:c r="G82" s="98" t="n">
        <x:v>0.038233333333333334</x:v>
      </x:c>
      <x:c r="H82" s="98" t="n">
        <x:v>0.13851666666666668</x:v>
      </x:c>
      <x:c r="I82" s="98" t="n">
        <x:v>0.46645</x:v>
      </x:c>
      <x:c r="J82" s="90" t="str">
        <x:v>Low</x:v>
      </x:c>
      <x:c r="K82" s="90" t="str">
        <x:v>Finance</x:v>
      </x:c>
      <x:c r="L82" s="90" t="str">
        <x:v>Data Analytics / Quant Summer Analyst</x:v>
      </x:c>
      <x:c r="M82" s="90" t="str">
        <x:v>Data Analytics</x:v>
      </x:c>
      <x:c r="N82" s="98" t="n">
        <x:v>0.82</x:v>
      </x:c>
      <x:c r="O82" s="90" t="str">
        <x:v>Likely workable; verify exact posting</x:v>
      </x:c>
      <x:c r="P82" s="98" t="n">
        <x:v>0.8567334174255485</x:v>
      </x:c>
      <x:c r="Q82" s="98" t="n">
        <x:v>0.04488944950365718</x:v>
      </x:c>
      <x:c r="R82" s="98" t="n">
        <x:v>0.644</x:v>
      </x:c>
      <x:c r="S82" s="98" t="n">
        <x:v>0.5</x:v>
      </x:c>
      <x:c r="T82" s="98" t="n">
        <x:v>0.76</x:v>
      </x:c>
      <x:c r="U82" s="98" t="n">
        <x:v>0.5</x:v>
      </x:c>
      <x:c r="V82" s="98" t="n">
        <x:v>0.64</x:v>
      </x:c>
      <x:c r="W82" s="98" t="n">
        <x:v>0.2596273291925466</x:v>
      </x:c>
      <x:c r="X82" s="90" t="str">
        <x:v>D</x:v>
      </x:c>
      <x:c r="Y82" s="90" t="n">
        <x:v>0</x:v>
      </x:c>
      <x:c r="Z82" s="90" t="str">
        <x:v>Three analytics internships plus SQL, Python, Tableau, forecasting and segmentation directly match the lane.</x:v>
      </x:c>
      <x:c r="AA82" s="90" t="str">
        <x:v>Exact posting still controls CPT eligibility; 3.31 GPA may sit below a preferred threshold; No matching public role found in reviewed trackers; LinkedIn network evidence pending</x:v>
      </x:c>
      <x:c r="AB82" s="90" t="str">
        <x:v>No matching role found in reviewed public trackers; treated as missing evidence, not a negative.</x:v>
      </x:c>
      <x:c r="AC82" s="90" t="str"/>
      <x:c r="AD82" s="90" t="str">
        <x:v>Opens Jul 2026; most programs close by mid-Sep.</x:v>
      </x:c>
      <x:c r="AE82" s="90" t="str">
        <x:v>https://careers.jpmorgan.com/us/en/students/programs</x:v>
      </x:c>
    </x:row>
    <x:row r="83" ht="54" customHeight="1">
      <x:c r="A83" s="90" t="n">
        <x:v>79</x:v>
      </x:c>
      <x:c r="B83" s="90" t="str">
        <x:v>Merck</x:v>
      </x:c>
      <x:c r="C83" s="90" t="str">
        <x:v>Stretch</x:v>
      </x:c>
      <x:c r="D83" s="90" t="n">
        <x:v>85</x:v>
      </x:c>
      <x:c r="E83" s="90" t="n">
        <x:v>35</x:v>
      </x:c>
      <x:c r="F83" s="90" t="n">
        <x:v>128</x:v>
      </x:c>
      <x:c r="G83" s="98" t="n">
        <x:v>0.03295</x:v>
      </x:c>
      <x:c r="H83" s="98" t="n">
        <x:v>0.12945</x:v>
      </x:c>
      <x:c r="I83" s="98" t="n">
        <x:v>0.45718333333333333</x:v>
      </x:c>
      <x:c r="J83" s="90" t="str">
        <x:v>Low</x:v>
      </x:c>
      <x:c r="K83" s="90" t="str">
        <x:v>Pharma</x:v>
      </x:c>
      <x:c r="L83" s="90" t="str">
        <x:v>Data Science Intern</x:v>
      </x:c>
      <x:c r="M83" s="90" t="str">
        <x:v>Data Science</x:v>
      </x:c>
      <x:c r="N83" s="98" t="n">
        <x:v>0.82</x:v>
      </x:c>
      <x:c r="O83" s="90" t="str">
        <x:v>Likely workable; verify exact posting</x:v>
      </x:c>
      <x:c r="P83" s="98" t="n">
        <x:v>0.8709499858336214</x:v>
      </x:c>
      <x:c r="Q83" s="98" t="n">
        <x:v>0.7596665722241431</x:v>
      </x:c>
      <x:c r="R83" s="98" t="n">
        <x:v>0.545</x:v>
      </x:c>
      <x:c r="S83" s="98" t="n">
        <x:v>0.5</x:v>
      </x:c>
      <x:c r="T83" s="98" t="n">
        <x:v>0.28</x:v>
      </x:c>
      <x:c r="U83" s="98" t="n">
        <x:v>0.5</x:v>
      </x:c>
      <x:c r="V83" s="98" t="n">
        <x:v>0.76</x:v>
      </x:c>
      <x:c r="W83" s="98" t="n">
        <x:v>0.7863354037267081</x:v>
      </x:c>
      <x:c r="X83" s="90" t="str">
        <x:v>D</x:v>
      </x:c>
      <x:c r="Y83" s="90" t="n">
        <x:v>0</x:v>
      </x:c>
      <x:c r="Z83" s="90" t="str">
        <x:v>ALSAC data science, propensity modeling, DataRobot, Python/SQL and ML research form a clear progression.</x:v>
      </x:c>
      <x:c r="AA83" s="90" t="str">
        <x:v>Exact posting still controls CPT eligibility; Observed roles show graduate-degree skew; Low personal industry preference; No matching public role found in reviewed trackers; LinkedIn network evidence pending</x:v>
      </x:c>
      <x:c r="AB83" s="90" t="str">
        <x:v>No matching role found in reviewed public trackers; treated as missing evidence, not a negative.</x:v>
      </x:c>
      <x:c r="AC83" s="90" t="str"/>
      <x:c r="AD83" s="90" t="str">
        <x:v>Sep-Dec 2026</x:v>
      </x:c>
      <x:c r="AE83" s="90" t="str">
        <x:v>https://jobs.merck.com/us/en/students</x:v>
      </x:c>
    </x:row>
    <x:row r="84" ht="54" customHeight="1">
      <x:c r="A84" s="90" t="n">
        <x:v>80</x:v>
      </x:c>
      <x:c r="B84" s="90" t="str">
        <x:v>Eli Lilly</x:v>
      </x:c>
      <x:c r="C84" s="90" t="str">
        <x:v>Stretch</x:v>
      </x:c>
      <x:c r="D84" s="90" t="n">
        <x:v>85</x:v>
      </x:c>
      <x:c r="E84" s="90" t="n">
        <x:v>35</x:v>
      </x:c>
      <x:c r="F84" s="90" t="n">
        <x:v>129</x:v>
      </x:c>
      <x:c r="G84" s="98" t="n">
        <x:v>0.0345</x:v>
      </x:c>
      <x:c r="H84" s="98" t="n">
        <x:v>0.13121666666666668</x:v>
      </x:c>
      <x:c r="I84" s="98" t="n">
        <x:v>0.45336666666666664</x:v>
      </x:c>
      <x:c r="J84" s="90" t="str">
        <x:v>Low</x:v>
      </x:c>
      <x:c r="K84" s="90" t="str">
        <x:v>Pharma</x:v>
      </x:c>
      <x:c r="L84" s="90" t="str">
        <x:v>Data Science Intern</x:v>
      </x:c>
      <x:c r="M84" s="90" t="str">
        <x:v>Data Science</x:v>
      </x:c>
      <x:c r="N84" s="98" t="n">
        <x:v>0.82</x:v>
      </x:c>
      <x:c r="O84" s="90" t="str">
        <x:v>Likely workable; verify exact posting</x:v>
      </x:c>
      <x:c r="P84" s="98" t="n">
        <x:v>0.8709499858336214</x:v>
      </x:c>
      <x:c r="Q84" s="98" t="n">
        <x:v>0.7596665722241431</x:v>
      </x:c>
      <x:c r="R84" s="98" t="n">
        <x:v>0.545</x:v>
      </x:c>
      <x:c r="S84" s="98" t="n">
        <x:v>0.5</x:v>
      </x:c>
      <x:c r="T84" s="98" t="n">
        <x:v>0.28</x:v>
      </x:c>
      <x:c r="U84" s="98" t="n">
        <x:v>0.5</x:v>
      </x:c>
      <x:c r="V84" s="98" t="n">
        <x:v>0.76</x:v>
      </x:c>
      <x:c r="W84" s="98" t="n">
        <x:v>0.7813664596273291</x:v>
      </x:c>
      <x:c r="X84" s="90" t="str">
        <x:v>D</x:v>
      </x:c>
      <x:c r="Y84" s="90" t="n">
        <x:v>0</x:v>
      </x:c>
      <x:c r="Z84" s="90" t="str">
        <x:v>ALSAC data science, propensity modeling, DataRobot, Python/SQL and ML research form a clear progression.</x:v>
      </x:c>
      <x:c r="AA84" s="90" t="str">
        <x:v>Exact posting still controls CPT eligibility; Observed roles show graduate-degree skew; Low personal industry preference; No matching public role found in reviewed trackers; LinkedIn network evidence pending</x:v>
      </x:c>
      <x:c r="AB84" s="90" t="str">
        <x:v>No matching role found in reviewed public trackers; treated as missing evidence, not a negative.</x:v>
      </x:c>
      <x:c r="AC84" s="90" t="str"/>
      <x:c r="AD84" s="90" t="str">
        <x:v>Sep-Dec 2026</x:v>
      </x:c>
      <x:c r="AE84" s="90" t="str">
        <x:v>https://careers.lilly.com/us/en/early-career</x:v>
      </x:c>
    </x:row>
    <x:row r="85" ht="54" customHeight="1">
      <x:c r="A85" s="90" t="n">
        <x:v>81</x:v>
      </x:c>
      <x:c r="B85" s="90" t="str">
        <x:v>AstraZeneca</x:v>
      </x:c>
      <x:c r="C85" s="90" t="str">
        <x:v>Stretch</x:v>
      </x:c>
      <x:c r="D85" s="90" t="n">
        <x:v>86</x:v>
      </x:c>
      <x:c r="E85" s="90" t="n">
        <x:v>36</x:v>
      </x:c>
      <x:c r="F85" s="90" t="n">
        <x:v>129</x:v>
      </x:c>
      <x:c r="G85" s="98" t="n">
        <x:v>0.031733333333333336</x:v>
      </x:c>
      <x:c r="H85" s="98" t="n">
        <x:v>0.12405</x:v>
      </x:c>
      <x:c r="I85" s="98" t="n">
        <x:v>0.44451666666666667</x:v>
      </x:c>
      <x:c r="J85" s="90" t="str">
        <x:v>Low</x:v>
      </x:c>
      <x:c r="K85" s="90" t="str">
        <x:v>Pharma</x:v>
      </x:c>
      <x:c r="L85" s="90" t="str">
        <x:v>Data Science Intern</x:v>
      </x:c>
      <x:c r="M85" s="90" t="str">
        <x:v>Data Science</x:v>
      </x:c>
      <x:c r="N85" s="98" t="n">
        <x:v>0.82</x:v>
      </x:c>
      <x:c r="O85" s="90" t="str">
        <x:v>Likely workable; verify exact posting</x:v>
      </x:c>
      <x:c r="P85" s="98" t="n">
        <x:v>0.8709499858336214</x:v>
      </x:c>
      <x:c r="Q85" s="98" t="n">
        <x:v>0.7596665722241431</x:v>
      </x:c>
      <x:c r="R85" s="98" t="n">
        <x:v>0.545</x:v>
      </x:c>
      <x:c r="S85" s="98" t="n">
        <x:v>0.5</x:v>
      </x:c>
      <x:c r="T85" s="98" t="n">
        <x:v>0.28</x:v>
      </x:c>
      <x:c r="U85" s="98" t="n">
        <x:v>0.5</x:v>
      </x:c>
      <x:c r="V85" s="98" t="n">
        <x:v>0.76</x:v>
      </x:c>
      <x:c r="W85" s="98" t="n">
        <x:v>0.7664596273291926</x:v>
      </x:c>
      <x:c r="X85" s="90" t="str">
        <x:v>D</x:v>
      </x:c>
      <x:c r="Y85" s="90" t="n">
        <x:v>0</x:v>
      </x:c>
      <x:c r="Z85" s="90" t="str">
        <x:v>ALSAC data science, propensity modeling, DataRobot, Python/SQL and ML research form a clear progression.</x:v>
      </x:c>
      <x:c r="AA85" s="90" t="str">
        <x:v>Exact posting still controls CPT eligibility; Observed roles show graduate-degree skew; Low personal industry preference; No matching public role found in reviewed trackers; LinkedIn network evidence pending</x:v>
      </x:c>
      <x:c r="AB85" s="90" t="str">
        <x:v>No matching role found in reviewed public trackers; treated as missing evidence, not a negative.</x:v>
      </x:c>
      <x:c r="AC85" s="90" t="str"/>
      <x:c r="AD85" s="90" t="str">
        <x:v>Oct-Jan 2027</x:v>
      </x:c>
      <x:c r="AE85" s="90" t="str">
        <x:v>https://careers.astrazeneca.com/students</x:v>
      </x:c>
    </x:row>
    <x:row r="86" ht="54" customHeight="1">
      <x:c r="A86" s="90" t="n">
        <x:v>82</x:v>
      </x:c>
      <x:c r="B86" s="90" t="str">
        <x:v>Bristol Myers Squibb</x:v>
      </x:c>
      <x:c r="C86" s="90" t="str">
        <x:v>Stretch</x:v>
      </x:c>
      <x:c r="D86" s="90" t="n">
        <x:v>86</x:v>
      </x:c>
      <x:c r="E86" s="90" t="n">
        <x:v>36</x:v>
      </x:c>
      <x:c r="F86" s="90" t="n">
        <x:v>129</x:v>
      </x:c>
      <x:c r="G86" s="98" t="n">
        <x:v>0.03181666666666667</x:v>
      </x:c>
      <x:c r="H86" s="98" t="n">
        <x:v>0.12363333333333333</x:v>
      </x:c>
      <x:c r="I86" s="98" t="n">
        <x:v>0.44458333333333333</x:v>
      </x:c>
      <x:c r="J86" s="90" t="str">
        <x:v>Low</x:v>
      </x:c>
      <x:c r="K86" s="90" t="str">
        <x:v>Pharma</x:v>
      </x:c>
      <x:c r="L86" s="90" t="str">
        <x:v>Data Science Intern</x:v>
      </x:c>
      <x:c r="M86" s="90" t="str">
        <x:v>Data Science</x:v>
      </x:c>
      <x:c r="N86" s="98" t="n">
        <x:v>0.82</x:v>
      </x:c>
      <x:c r="O86" s="90" t="str">
        <x:v>Likely workable; verify exact posting</x:v>
      </x:c>
      <x:c r="P86" s="98" t="n">
        <x:v>0.8709499858336214</x:v>
      </x:c>
      <x:c r="Q86" s="98" t="n">
        <x:v>0.7596665722241431</x:v>
      </x:c>
      <x:c r="R86" s="98" t="n">
        <x:v>0.545</x:v>
      </x:c>
      <x:c r="S86" s="98" t="n">
        <x:v>0.5</x:v>
      </x:c>
      <x:c r="T86" s="98" t="n">
        <x:v>0.28</x:v>
      </x:c>
      <x:c r="U86" s="98" t="n">
        <x:v>0.5</x:v>
      </x:c>
      <x:c r="V86" s="98" t="n">
        <x:v>0.76</x:v>
      </x:c>
      <x:c r="W86" s="98" t="n">
        <x:v>0.7714285714285715</x:v>
      </x:c>
      <x:c r="X86" s="90" t="str">
        <x:v>D</x:v>
      </x:c>
      <x:c r="Y86" s="90" t="n">
        <x:v>0</x:v>
      </x:c>
      <x:c r="Z86" s="90" t="str">
        <x:v>ALSAC data science, propensity modeling, DataRobot, Python/SQL and ML research form a clear progression.</x:v>
      </x:c>
      <x:c r="AA86" s="90" t="str">
        <x:v>Exact posting still controls CPT eligibility; Observed roles show graduate-degree skew; Low personal industry preference; No matching public role found in reviewed trackers; LinkedIn network evidence pending</x:v>
      </x:c>
      <x:c r="AB86" s="90" t="str">
        <x:v>No matching role found in reviewed public trackers; treated as missing evidence, not a negative.</x:v>
      </x:c>
      <x:c r="AC86" s="90" t="str"/>
      <x:c r="AD86" s="90" t="str">
        <x:v>Oct-Jan 2027</x:v>
      </x:c>
      <x:c r="AE86" s="90" t="str">
        <x:v>https://careers.bms.com/students</x:v>
      </x:c>
    </x:row>
    <x:row r="87" ht="54" customHeight="1">
      <x:c r="A87" s="90" t="n">
        <x:v>83</x:v>
      </x:c>
      <x:c r="B87" s="90" t="str">
        <x:v>Genentech</x:v>
      </x:c>
      <x:c r="C87" s="90" t="str">
        <x:v>Stretch</x:v>
      </x:c>
      <x:c r="D87" s="90" t="n">
        <x:v>86</x:v>
      </x:c>
      <x:c r="E87" s="90" t="n">
        <x:v>36</x:v>
      </x:c>
      <x:c r="F87" s="90" t="n">
        <x:v>129</x:v>
      </x:c>
      <x:c r="G87" s="98" t="n">
        <x:v>0.03328333333333333</x:v>
      </x:c>
      <x:c r="H87" s="98" t="n">
        <x:v>0.12776666666666667</x:v>
      </x:c>
      <x:c r="I87" s="98" t="n">
        <x:v>0.4474666666666667</x:v>
      </x:c>
      <x:c r="J87" s="90" t="str">
        <x:v>Low</x:v>
      </x:c>
      <x:c r="K87" s="90" t="str">
        <x:v>Pharma</x:v>
      </x:c>
      <x:c r="L87" s="90" t="str">
        <x:v>Data Science Intern</x:v>
      </x:c>
      <x:c r="M87" s="90" t="str">
        <x:v>Data Science</x:v>
      </x:c>
      <x:c r="N87" s="98" t="n">
        <x:v>0.82</x:v>
      </x:c>
      <x:c r="O87" s="90" t="str">
        <x:v>Likely workable; verify exact posting</x:v>
      </x:c>
      <x:c r="P87" s="98" t="n">
        <x:v>0.8709499858336214</x:v>
      </x:c>
      <x:c r="Q87" s="98" t="n">
        <x:v>0.7596665722241431</x:v>
      </x:c>
      <x:c r="R87" s="98" t="n">
        <x:v>0.545</x:v>
      </x:c>
      <x:c r="S87" s="98" t="n">
        <x:v>0.5</x:v>
      </x:c>
      <x:c r="T87" s="98" t="n">
        <x:v>0.28</x:v>
      </x:c>
      <x:c r="U87" s="98" t="n">
        <x:v>0.5</x:v>
      </x:c>
      <x:c r="V87" s="98" t="n">
        <x:v>0.76</x:v>
      </x:c>
      <x:c r="W87" s="98" t="n">
        <x:v>0.7763975155279503</x:v>
      </x:c>
      <x:c r="X87" s="90" t="str">
        <x:v>D</x:v>
      </x:c>
      <x:c r="Y87" s="90" t="n">
        <x:v>0</x:v>
      </x:c>
      <x:c r="Z87" s="90" t="str">
        <x:v>ALSAC data science, propensity modeling, DataRobot, Python/SQL and ML research form a clear progression.</x:v>
      </x:c>
      <x:c r="AA87" s="90" t="str">
        <x:v>Exact posting still controls CPT eligibility; Observed roles show graduate-degree skew; Low personal industry preference; No matching public role found in reviewed trackers; LinkedIn network evidence pending</x:v>
      </x:c>
      <x:c r="AB87" s="90" t="str">
        <x:v>No matching role found in reviewed public trackers; treated as missing evidence, not a negative.</x:v>
      </x:c>
      <x:c r="AC87" s="90" t="str"/>
      <x:c r="AD87" s="90" t="str">
        <x:v>Oct-Jan 2027</x:v>
      </x:c>
      <x:c r="AE87" s="90" t="str">
        <x:v>https://careers.gene.com/us/en/students</x:v>
      </x:c>
    </x:row>
    <x:row r="88" ht="54" customHeight="1">
      <x:c r="A88" s="90" t="n">
        <x:v>84</x:v>
      </x:c>
      <x:c r="B88" s="90" t="str">
        <x:v>Pfizer</x:v>
      </x:c>
      <x:c r="C88" s="90" t="str">
        <x:v>Stretch</x:v>
      </x:c>
      <x:c r="D88" s="90" t="n">
        <x:v>86</x:v>
      </x:c>
      <x:c r="E88" s="90" t="n">
        <x:v>37</x:v>
      </x:c>
      <x:c r="F88" s="90" t="n">
        <x:v>129</x:v>
      </x:c>
      <x:c r="G88" s="98" t="n">
        <x:v>0.030816666666666666</x:v>
      </x:c>
      <x:c r="H88" s="98" t="n">
        <x:v>0.11883333333333333</x:v>
      </x:c>
      <x:c r="I88" s="98" t="n">
        <x:v>0.44353333333333333</x:v>
      </x:c>
      <x:c r="J88" s="90" t="str">
        <x:v>Low</x:v>
      </x:c>
      <x:c r="K88" s="90" t="str">
        <x:v>Pharma</x:v>
      </x:c>
      <x:c r="L88" s="90" t="str">
        <x:v>Data Science / Digital Intern</x:v>
      </x:c>
      <x:c r="M88" s="90" t="str">
        <x:v>Data Science</x:v>
      </x:c>
      <x:c r="N88" s="98" t="n">
        <x:v>0.82</x:v>
      </x:c>
      <x:c r="O88" s="90" t="str">
        <x:v>Likely workable; verify exact posting</x:v>
      </x:c>
      <x:c r="P88" s="98" t="n">
        <x:v>0.8282296485040495</x:v>
      </x:c>
      <x:c r="Q88" s="98" t="n">
        <x:v>0.47486432336032985</x:v>
      </x:c>
      <x:c r="R88" s="98" t="n">
        <x:v>0.545</x:v>
      </x:c>
      <x:c r="S88" s="98" t="n">
        <x:v>0.5</x:v>
      </x:c>
      <x:c r="T88" s="98" t="n">
        <x:v>0.28</x:v>
      </x:c>
      <x:c r="U88" s="98" t="n">
        <x:v>0.5</x:v>
      </x:c>
      <x:c r="V88" s="98" t="n">
        <x:v>0.76</x:v>
      </x:c>
      <x:c r="W88" s="98" t="n">
        <x:v>0.9055900621118014</x:v>
      </x:c>
      <x:c r="X88" s="90" t="str">
        <x:v>D</x:v>
      </x:c>
      <x:c r="Y88" s="90" t="n">
        <x:v>0</x:v>
      </x:c>
      <x:c r="Z88" s="90" t="str">
        <x:v>ALSAC data science, propensity modeling, DataRobot, Python/SQL and ML research form a clear progression.</x:v>
      </x:c>
      <x:c r="AA88" s="90" t="str">
        <x:v>Exact posting still controls CPT eligibility; Observed roles show graduate-degree skew; Low personal industry preference; No matching public role found in reviewed trackers; LinkedIn network evidence pending</x:v>
      </x:c>
      <x:c r="AB88" s="90" t="str">
        <x:v>No matching role found in reviewed public trackers; treated as missing evidence, not a negative.</x:v>
      </x:c>
      <x:c r="AC88" s="90" t="str"/>
      <x:c r="AD88" s="90" t="str">
        <x:v>Sep-Dec 2026</x:v>
      </x:c>
      <x:c r="AE88" s="90" t="str">
        <x:v>https://www.pfizer.com/about/careers/early-careers</x:v>
      </x:c>
    </x:row>
    <x:row r="89" ht="54" customHeight="1">
      <x:c r="A89" s="90" t="n">
        <x:v>85</x:v>
      </x:c>
      <x:c r="B89" s="90" t="str">
        <x:v>Epic Games</x:v>
      </x:c>
      <x:c r="C89" s="90" t="str">
        <x:v>Stretch</x:v>
      </x:c>
      <x:c r="D89" s="90" t="n">
        <x:v>86</x:v>
      </x:c>
      <x:c r="E89" s="90" t="n">
        <x:v>24</x:v>
      </x:c>
      <x:c r="F89" s="90" t="n">
        <x:v>137</x:v>
      </x:c>
      <x:c r="G89" s="98" t="n">
        <x:v>0.08076666666666667</x:v>
      </x:c>
      <x:c r="H89" s="98" t="n">
        <x:v>0.19123333333333334</x:v>
      </x:c>
      <x:c r="I89" s="98" t="n">
        <x:v>0.45735</x:v>
      </x:c>
      <x:c r="J89" s="90" t="str">
        <x:v>Low</x:v>
      </x:c>
      <x:c r="K89" s="90" t="str">
        <x:v>Big Tech</x:v>
      </x:c>
      <x:c r="L89" s="90" t="str">
        <x:v>Data Analyst Intern</x:v>
      </x:c>
      <x:c r="M89" s="90" t="str">
        <x:v>Data Analytics</x:v>
      </x:c>
      <x:c r="N89" s="98" t="n">
        <x:v>0.62</x:v>
      </x:c>
      <x:c r="O89" s="90" t="str">
        <x:v>Role-specific; verify future-sponsorship wording</x:v>
      </x:c>
      <x:c r="P89" s="98" t="n">
        <x:v>0.8991098432317398</x:v>
      </x:c>
      <x:c r="Q89" s="98" t="n">
        <x:v>0.3273989548782653</x:v>
      </x:c>
      <x:c r="R89" s="98" t="n">
        <x:v>0.644</x:v>
      </x:c>
      <x:c r="S89" s="98" t="n">
        <x:v>0.5</x:v>
      </x:c>
      <x:c r="T89" s="98" t="n">
        <x:v>0.88</x:v>
      </x:c>
      <x:c r="U89" s="98" t="n">
        <x:v>0.5</x:v>
      </x:c>
      <x:c r="V89" s="98" t="n">
        <x:v>0.76</x:v>
      </x:c>
      <x:c r="W89" s="98" t="n">
        <x:v>0.49316770186335407</x:v>
      </x:c>
      <x:c r="X89" s="90" t="str">
        <x:v>D</x:v>
      </x:c>
      <x:c r="Y89" s="90" t="n">
        <x:v>0</x:v>
      </x:c>
      <x:c r="Z89" s="90" t="str">
        <x:v>Three analytics internships plus SQL, Python, Tableau, forecasting and segmentation directly match the lane.</x:v>
      </x:c>
      <x:c r="AA89" s="90" t="str">
        <x:v>CPT/future-sponsorship wording must be verified; No matching public role found in reviewed trackers; LinkedIn network evidence pending</x:v>
      </x:c>
      <x:c r="AB89" s="90" t="str">
        <x:v>No matching role found in reviewed public trackers; treated as missing evidence, not a negative.</x:v>
      </x:c>
      <x:c r="AC89" s="90" t="str"/>
      <x:c r="AD89" s="90" t="str">
        <x:v>Oct-Dec 2026</x:v>
      </x:c>
      <x:c r="AE89" s="90" t="str">
        <x:v>https://www.epicgames.com/site/en-US/earlycareers</x:v>
      </x:c>
    </x:row>
    <x:row r="90" ht="54" customHeight="1">
      <x:c r="A90" s="90" t="n">
        <x:v>86</x:v>
      </x:c>
      <x:c r="B90" s="90" t="str">
        <x:v>Boston Consulting Group</x:v>
      </x:c>
      <x:c r="C90" s="90" t="str">
        <x:v>Stretch</x:v>
      </x:c>
      <x:c r="D90" s="90" t="n">
        <x:v>87</x:v>
      </x:c>
      <x:c r="E90" s="90" t="n">
        <x:v>36</x:v>
      </x:c>
      <x:c r="F90" s="90" t="n">
        <x:v>129</x:v>
      </x:c>
      <x:c r="G90" s="98" t="n">
        <x:v>0.034</x:v>
      </x:c>
      <x:c r="H90" s="98" t="n">
        <x:v>0.12283333333333334</x:v>
      </x:c>
      <x:c r="I90" s="98" t="n">
        <x:v>0.43925</x:v>
      </x:c>
      <x:c r="J90" s="90" t="str">
        <x:v>Low</x:v>
      </x:c>
      <x:c r="K90" s="90" t="str">
        <x:v>Consulting</x:v>
      </x:c>
      <x:c r="L90" s="90" t="str">
        <x:v>Data Science Intern (BCG X)</x:v>
      </x:c>
      <x:c r="M90" s="90" t="str">
        <x:v>Analytics Consulting</x:v>
      </x:c>
      <x:c r="N90" s="98" t="n">
        <x:v>0.82</x:v>
      </x:c>
      <x:c r="O90" s="90" t="str">
        <x:v>Likely workable; verify exact posting</x:v>
      </x:c>
      <x:c r="P90" s="98" t="n">
        <x:v>0.8211879542769498</x:v>
      </x:c>
      <x:c r="Q90" s="98" t="n">
        <x:v>0.19458636184633116</x:v>
      </x:c>
      <x:c r="R90" s="98" t="n">
        <x:v>0.635</x:v>
      </x:c>
      <x:c r="S90" s="98" t="n">
        <x:v>0.5</x:v>
      </x:c>
      <x:c r="T90" s="98" t="n">
        <x:v>0.8</x:v>
      </x:c>
      <x:c r="U90" s="98" t="n">
        <x:v>0.5</x:v>
      </x:c>
      <x:c r="V90" s="98" t="n">
        <x:v>0.6799999999999999</x:v>
      </x:c>
      <x:c r="W90" s="98" t="n">
        <x:v>0.2795031055900621</x:v>
      </x:c>
      <x:c r="X90" s="90" t="str">
        <x:v>D</x:v>
      </x:c>
      <x:c r="Y90" s="90" t="n">
        <x:v>0</x:v>
      </x:c>
      <x:c r="Z90" s="90" t="str">
        <x:v>Technical analytics plus economics, research and residential leadership support client-facing analytical work.</x:v>
      </x:c>
      <x:c r="AA90" s="90" t="str">
        <x:v>Exact posting still controls CPT eligibility; 3.31 GPA may sit below a preferred threshold; No matching public role found in reviewed trackers; LinkedIn network evidence pending</x:v>
      </x:c>
      <x:c r="AB90" s="90" t="str">
        <x:v>No matching role found in reviewed public trackers; treated as missing evidence, not a negative.</x:v>
      </x:c>
      <x:c r="AC90" s="90" t="str"/>
      <x:c r="AD90" s="90" t="str">
        <x:v>Sep-Nov 2026</x:v>
      </x:c>
      <x:c r="AE90" s="90" t="str">
        <x:v>https://careers.bcg.com/students</x:v>
      </x:c>
    </x:row>
    <x:row r="91" ht="54" customHeight="1">
      <x:c r="A91" s="90" t="n">
        <x:v>87</x:v>
      </x:c>
      <x:c r="B91" s="90" t="str">
        <x:v>Booking Holdings / Priceline</x:v>
      </x:c>
      <x:c r="C91" s="90" t="str">
        <x:v>Stretch</x:v>
      </x:c>
      <x:c r="D91" s="90" t="n">
        <x:v>87</x:v>
      </x:c>
      <x:c r="E91" s="90" t="n">
        <x:v>37</x:v>
      </x:c>
      <x:c r="F91" s="90" t="n">
        <x:v>130</x:v>
      </x:c>
      <x:c r="G91" s="98" t="n">
        <x:v>0.03186666666666667</x:v>
      </x:c>
      <x:c r="H91" s="98" t="n">
        <x:v>0.12036666666666666</x:v>
      </x:c>
      <x:c r="I91" s="98" t="n">
        <x:v>0.43553333333333333</x:v>
      </x:c>
      <x:c r="J91" s="90" t="str">
        <x:v>Low</x:v>
      </x:c>
      <x:c r="K91" s="90" t="str">
        <x:v>Travel/Tech</x:v>
      </x:c>
      <x:c r="L91" s="90" t="str">
        <x:v>Data Science Intern</x:v>
      </x:c>
      <x:c r="M91" s="90" t="str">
        <x:v>Data Science</x:v>
      </x:c>
      <x:c r="N91" s="98" t="n">
        <x:v>0.82</x:v>
      </x:c>
      <x:c r="O91" s="90" t="str">
        <x:v>Likely workable; verify exact posting</x:v>
      </x:c>
      <x:c r="P91" s="98" t="n">
        <x:v>0.8358222800137598</x:v>
      </x:c>
      <x:c r="Q91" s="98" t="n">
        <x:v>0.4588152000917319</x:v>
      </x:c>
      <x:c r="R91" s="98" t="n">
        <x:v>0.545</x:v>
      </x:c>
      <x:c r="S91" s="98" t="n">
        <x:v>0.5</x:v>
      </x:c>
      <x:c r="T91" s="98" t="n">
        <x:v>0.55</x:v>
      </x:c>
      <x:c r="U91" s="98" t="n">
        <x:v>0.5</x:v>
      </x:c>
      <x:c r="V91" s="98" t="n">
        <x:v>0.76</x:v>
      </x:c>
      <x:c r="W91" s="98" t="n">
        <x:v>0.5677018633540373</x:v>
      </x:c>
      <x:c r="X91" s="90" t="str">
        <x:v>D</x:v>
      </x:c>
      <x:c r="Y91" s="90" t="n">
        <x:v>0</x:v>
      </x:c>
      <x:c r="Z91" s="90" t="str">
        <x:v>ALSAC data science, propensity modeling, DataRobot, Python/SQL and ML research form a clear progression.</x:v>
      </x:c>
      <x:c r="AA91" s="90" t="str">
        <x:v>Exact posting still controls CPT eligibility; Observed roles show graduate-degree skew; No matching public role found in reviewed trackers; LinkedIn network evidence pending</x:v>
      </x:c>
      <x:c r="AB91" s="90" t="str">
        <x:v>No matching role found in reviewed public trackers; treated as missing evidence, not a negative.</x:v>
      </x:c>
      <x:c r="AC91" s="90" t="str"/>
      <x:c r="AD91" s="90" t="str">
        <x:v>Sep-Nov 2026</x:v>
      </x:c>
      <x:c r="AE91" s="90" t="str">
        <x:v>https://careers.bookingholdings.com/</x:v>
      </x:c>
    </x:row>
    <x:row r="92" ht="54" customHeight="1">
      <x:c r="A92" s="90" t="n">
        <x:v>88</x:v>
      </x:c>
      <x:c r="B92" s="90" t="str">
        <x:v>Novartis</x:v>
      </x:c>
      <x:c r="C92" s="90" t="str">
        <x:v>Stretch</x:v>
      </x:c>
      <x:c r="D92" s="90" t="n">
        <x:v>87</x:v>
      </x:c>
      <x:c r="E92" s="90" t="n">
        <x:v>37</x:v>
      </x:c>
      <x:c r="F92" s="90" t="n">
        <x:v>130</x:v>
      </x:c>
      <x:c r="G92" s="98" t="n">
        <x:v>0.03241666666666667</x:v>
      </x:c>
      <x:c r="H92" s="98" t="n">
        <x:v>0.1233</x:v>
      </x:c>
      <x:c r="I92" s="98" t="n">
        <x:v>0.4391833333333333</x:v>
      </x:c>
      <x:c r="J92" s="90" t="str">
        <x:v>Low</x:v>
      </x:c>
      <x:c r="K92" s="90" t="str">
        <x:v>Pharma</x:v>
      </x:c>
      <x:c r="L92" s="90" t="str">
        <x:v>Data Science Intern</x:v>
      </x:c>
      <x:c r="M92" s="90" t="str">
        <x:v>Data Science</x:v>
      </x:c>
      <x:c r="N92" s="98" t="n">
        <x:v>0.82</x:v>
      </x:c>
      <x:c r="O92" s="90" t="str">
        <x:v>Likely workable; verify exact posting</x:v>
      </x:c>
      <x:c r="P92" s="98" t="n">
        <x:v>0.8709499858336214</x:v>
      </x:c>
      <x:c r="Q92" s="98" t="n">
        <x:v>0.7596665722241431</x:v>
      </x:c>
      <x:c r="R92" s="98" t="n">
        <x:v>0.545</x:v>
      </x:c>
      <x:c r="S92" s="98" t="n">
        <x:v>0.5</x:v>
      </x:c>
      <x:c r="T92" s="98" t="n">
        <x:v>0.28</x:v>
      </x:c>
      <x:c r="U92" s="98" t="n">
        <x:v>0.5</x:v>
      </x:c>
      <x:c r="V92" s="98" t="n">
        <x:v>0.76</x:v>
      </x:c>
      <x:c r="W92" s="98" t="n">
        <x:v>0.7614906832298136</x:v>
      </x:c>
      <x:c r="X92" s="90" t="str">
        <x:v>D</x:v>
      </x:c>
      <x:c r="Y92" s="90" t="n">
        <x:v>0</x:v>
      </x:c>
      <x:c r="Z92" s="90" t="str">
        <x:v>ALSAC data science, propensity modeling, DataRobot, Python/SQL and ML research form a clear progression.</x:v>
      </x:c>
      <x:c r="AA92" s="90" t="str">
        <x:v>Exact posting still controls CPT eligibility; Observed roles show graduate-degree skew; Low personal industry preference; No matching public role found in reviewed trackers; LinkedIn network evidence pending</x:v>
      </x:c>
      <x:c r="AB92" s="90" t="str">
        <x:v>No matching role found in reviewed public trackers; treated as missing evidence, not a negative.</x:v>
      </x:c>
      <x:c r="AC92" s="90" t="str"/>
      <x:c r="AD92" s="90" t="str">
        <x:v>Oct-Jan 2027</x:v>
      </x:c>
      <x:c r="AE92" s="90" t="str">
        <x:v>https://www.novartis.com/careers/early-career</x:v>
      </x:c>
    </x:row>
    <x:row r="93" ht="54" customHeight="1">
      <x:c r="A93" s="90" t="n">
        <x:v>89</x:v>
      </x:c>
      <x:c r="B93" s="90" t="str">
        <x:v>Johnson &amp; Johnson</x:v>
      </x:c>
      <x:c r="C93" s="90" t="str">
        <x:v>Stretch</x:v>
      </x:c>
      <x:c r="D93" s="90" t="n">
        <x:v>89</x:v>
      </x:c>
      <x:c r="E93" s="90" t="n">
        <x:v>38</x:v>
      </x:c>
      <x:c r="F93" s="90" t="n">
        <x:v>131</x:v>
      </x:c>
      <x:c r="G93" s="98" t="n">
        <x:v>0.02865</x:v>
      </x:c>
      <x:c r="H93" s="98" t="n">
        <x:v>0.11338333333333334</x:v>
      </x:c>
      <x:c r="I93" s="98" t="n">
        <x:v>0.4191666666666667</x:v>
      </x:c>
      <x:c r="J93" s="90" t="str">
        <x:v>Low</x:v>
      </x:c>
      <x:c r="K93" s="90" t="str">
        <x:v>Pharma/Consumer</x:v>
      </x:c>
      <x:c r="L93" s="90" t="str">
        <x:v>Data Science Intern</x:v>
      </x:c>
      <x:c r="M93" s="90" t="str">
        <x:v>Data Science</x:v>
      </x:c>
      <x:c r="N93" s="98" t="n">
        <x:v>0.82</x:v>
      </x:c>
      <x:c r="O93" s="90" t="str">
        <x:v>Likely workable; verify exact posting</x:v>
      </x:c>
      <x:c r="P93" s="98" t="n">
        <x:v>0.853552881066413</x:v>
      </x:c>
      <x:c r="Q93" s="98" t="n">
        <x:v>0.6436858737760865</x:v>
      </x:c>
      <x:c r="R93" s="98" t="n">
        <x:v>0.545</x:v>
      </x:c>
      <x:c r="S93" s="98" t="n">
        <x:v>0.5</x:v>
      </x:c>
      <x:c r="T93" s="98" t="n">
        <x:v>0.28</x:v>
      </x:c>
      <x:c r="U93" s="98" t="n">
        <x:v>0.5</x:v>
      </x:c>
      <x:c r="V93" s="98" t="n">
        <x:v>0.76</x:v>
      </x:c>
      <x:c r="W93" s="98" t="n">
        <x:v>0.7913043478260869</x:v>
      </x:c>
      <x:c r="X93" s="90" t="str">
        <x:v>D</x:v>
      </x:c>
      <x:c r="Y93" s="90" t="n">
        <x:v>0</x:v>
      </x:c>
      <x:c r="Z93" s="90" t="str">
        <x:v>ALSAC data science, propensity modeling, DataRobot, Python/SQL and ML research form a clear progression.</x:v>
      </x:c>
      <x:c r="AA93" s="90" t="str">
        <x:v>Exact posting still controls CPT eligibility; Observed roles show graduate-degree skew; Low personal industry preference; No matching public role found in reviewed trackers; LinkedIn network evidence pending</x:v>
      </x:c>
      <x:c r="AB93" s="90" t="str">
        <x:v>No matching role found in reviewed public trackers; treated as missing evidence, not a negative.</x:v>
      </x:c>
      <x:c r="AC93" s="90" t="str"/>
      <x:c r="AD93" s="90" t="str">
        <x:v>Sep-Nov 2026</x:v>
      </x:c>
      <x:c r="AE93" s="90" t="str">
        <x:v>https://www.careers.jnj.com/en/students/</x:v>
      </x:c>
    </x:row>
    <x:row r="94" ht="54" customHeight="1">
      <x:c r="A94" s="90" t="n">
        <x:v>90</x:v>
      </x:c>
      <x:c r="B94" s="90" t="str">
        <x:v>Bain &amp; Company</x:v>
      </x:c>
      <x:c r="C94" s="90" t="str">
        <x:v>Stretch</x:v>
      </x:c>
      <x:c r="D94" s="90" t="n">
        <x:v>90</x:v>
      </x:c>
      <x:c r="E94" s="90" t="n">
        <x:v>39</x:v>
      </x:c>
      <x:c r="F94" s="90" t="n">
        <x:v>131</x:v>
      </x:c>
      <x:c r="G94" s="98" t="n">
        <x:v>0.026733333333333335</x:v>
      </x:c>
      <x:c r="H94" s="98" t="n">
        <x:v>0.10538333333333333</x:v>
      </x:c>
      <x:c r="I94" s="98" t="n">
        <x:v>0.40541666666666665</x:v>
      </x:c>
      <x:c r="J94" s="90" t="str">
        <x:v>Low</x:v>
      </x:c>
      <x:c r="K94" s="90" t="str">
        <x:v>Consulting</x:v>
      </x:c>
      <x:c r="L94" s="90" t="str">
        <x:v>Associate Consultant Intern / Advanced Analytics</x:v>
      </x:c>
      <x:c r="M94" s="90" t="str">
        <x:v>Analytics Consulting</x:v>
      </x:c>
      <x:c r="N94" s="98" t="n">
        <x:v>0.82</x:v>
      </x:c>
      <x:c r="O94" s="90" t="str">
        <x:v>Likely workable; verify exact posting</x:v>
      </x:c>
      <x:c r="P94" s="98" t="n">
        <x:v>0.8039604572075836</x:v>
      </x:c>
      <x:c r="Q94" s="98" t="n">
        <x:v>0.07973638138388976</x:v>
      </x:c>
      <x:c r="R94" s="98" t="n">
        <x:v>0.635</x:v>
      </x:c>
      <x:c r="S94" s="98" t="n">
        <x:v>0.5</x:v>
      </x:c>
      <x:c r="T94" s="98" t="n">
        <x:v>0.8</x:v>
      </x:c>
      <x:c r="U94" s="98" t="n">
        <x:v>0.5</x:v>
      </x:c>
      <x:c r="V94" s="98" t="n">
        <x:v>0.6799999999999999</x:v>
      </x:c>
      <x:c r="W94" s="98" t="n">
        <x:v>0.2745341614906832</x:v>
      </x:c>
      <x:c r="X94" s="90" t="str">
        <x:v>D</x:v>
      </x:c>
      <x:c r="Y94" s="90" t="n">
        <x:v>0</x:v>
      </x:c>
      <x:c r="Z94" s="90" t="str">
        <x:v>Technical analytics plus economics, research and residential leadership support client-facing analytical work.</x:v>
      </x:c>
      <x:c r="AA94" s="90" t="str">
        <x:v>Exact posting still controls CPT eligibility; 3.31 GPA may sit below a preferred threshold; No matching public role found in reviewed trackers; LinkedIn network evidence pending</x:v>
      </x:c>
      <x:c r="AB94" s="90" t="str">
        <x:v>No matching role found in reviewed public trackers; treated as missing evidence, not a negative.</x:v>
      </x:c>
      <x:c r="AC94" s="90" t="str"/>
      <x:c r="AD94" s="90" t="str">
        <x:v>Sep-Oct 2026</x:v>
      </x:c>
      <x:c r="AE94" s="90" t="str">
        <x:v>https://www.bain.com/careers/roles/students/</x:v>
      </x:c>
    </x:row>
    <x:row r="95" ht="54" customHeight="1">
      <x:c r="A95" s="90" t="n">
        <x:v>91</x:v>
      </x:c>
      <x:c r="B95" s="90" t="str">
        <x:v>Deloitte-alternative: FTI Consulting</x:v>
      </x:c>
      <x:c r="C95" s="90" t="str">
        <x:v>Stretch</x:v>
      </x:c>
      <x:c r="D95" s="90" t="n">
        <x:v>91</x:v>
      </x:c>
      <x:c r="E95" s="90" t="n">
        <x:v>28</x:v>
      </x:c>
      <x:c r="F95" s="90" t="n">
        <x:v>139</x:v>
      </x:c>
      <x:c r="G95" s="98" t="n">
        <x:v>0.06583333333333333</x:v>
      </x:c>
      <x:c r="H95" s="98" t="n">
        <x:v>0.16655</x:v>
      </x:c>
      <x:c r="I95" s="98" t="n">
        <x:v>0.4248</x:v>
      </x:c>
      <x:c r="J95" s="90" t="str">
        <x:v>Low</x:v>
      </x:c>
      <x:c r="K95" s="90" t="str">
        <x:v>Consulting/Data</x:v>
      </x:c>
      <x:c r="L95" s="90" t="str">
        <x:v>Data &amp; Analytics Intern</x:v>
      </x:c>
      <x:c r="M95" s="90" t="str">
        <x:v>Analytics Consulting</x:v>
      </x:c>
      <x:c r="N95" s="98" t="n">
        <x:v>0.62</x:v>
      </x:c>
      <x:c r="O95" s="90" t="str">
        <x:v>Role-specific; verify future-sponsorship wording</x:v>
      </x:c>
      <x:c r="P95" s="98" t="n">
        <x:v>0.8604017532494055</x:v>
      </x:c>
      <x:c r="Q95" s="98" t="n">
        <x:v>0.4560116883293694</x:v>
      </x:c>
      <x:c r="R95" s="98" t="n">
        <x:v>0.635</x:v>
      </x:c>
      <x:c r="S95" s="98" t="n">
        <x:v>0.5</x:v>
      </x:c>
      <x:c r="T95" s="98" t="n">
        <x:v>0.92</x:v>
      </x:c>
      <x:c r="U95" s="98" t="n">
        <x:v>0.5</x:v>
      </x:c>
      <x:c r="V95" s="98" t="n">
        <x:v>0.6799999999999999</x:v>
      </x:c>
      <x:c r="W95" s="98" t="n">
        <x:v>0.5229813664596273</x:v>
      </x:c>
      <x:c r="X95" s="90" t="str">
        <x:v>D</x:v>
      </x:c>
      <x:c r="Y95" s="90" t="n">
        <x:v>0</x:v>
      </x:c>
      <x:c r="Z95" s="90" t="str">
        <x:v>Technical analytics plus economics, research and residential leadership support client-facing analytical work.</x:v>
      </x:c>
      <x:c r="AA95" s="90" t="str">
        <x:v>CPT/future-sponsorship wording must be verified; 3.31 GPA may sit below a preferred threshold; No matching public role found in reviewed trackers; LinkedIn network evidence pending</x:v>
      </x:c>
      <x:c r="AB95" s="90" t="str">
        <x:v>No matching role found in reviewed public trackers; treated as missing evidence, not a negative.</x:v>
      </x:c>
      <x:c r="AC95" s="90" t="str"/>
      <x:c r="AD95" s="90" t="str">
        <x:v>Sep-Nov 2026</x:v>
      </x:c>
      <x:c r="AE95" s="90" t="str">
        <x:v>https://fticareers.com/students</x:v>
      </x:c>
    </x:row>
    <x:row r="96" ht="54" customHeight="1">
      <x:c r="A96" s="90" t="n">
        <x:v>92</x:v>
      </x:c>
      <x:c r="B96" s="90" t="str">
        <x:v>UBS</x:v>
      </x:c>
      <x:c r="C96" s="90" t="str">
        <x:v>Stretch</x:v>
      </x:c>
      <x:c r="D96" s="90" t="n">
        <x:v>93</x:v>
      </x:c>
      <x:c r="E96" s="90" t="n">
        <x:v>42</x:v>
      </x:c>
      <x:c r="F96" s="90" t="n">
        <x:v>133</x:v>
      </x:c>
      <x:c r="G96" s="98" t="n">
        <x:v>0.022783333333333333</x:v>
      </x:c>
      <x:c r="H96" s="98" t="n">
        <x:v>0.09301666666666666</x:v>
      </x:c>
      <x:c r="I96" s="98" t="n">
        <x:v>0.37688333333333335</x:v>
      </x:c>
      <x:c r="J96" s="90" t="str">
        <x:v>Low</x:v>
      </x:c>
      <x:c r="K96" s="90" t="str">
        <x:v>Finance</x:v>
      </x:c>
      <x:c r="L96" s="90" t="str">
        <x:v>Data / Quant Summer Analyst</x:v>
      </x:c>
      <x:c r="M96" s="90" t="str">
        <x:v>Business/Strategy Analytics</x:v>
      </x:c>
      <x:c r="N96" s="98" t="n">
        <x:v>0.82</x:v>
      </x:c>
      <x:c r="O96" s="90" t="str">
        <x:v>Likely workable; verify exact posting</x:v>
      </x:c>
      <x:c r="P96" s="98" t="n">
        <x:v>0.7881153198311313</x:v>
      </x:c>
      <x:c r="Q96" s="98" t="n">
        <x:v>0.26743546554087455</x:v>
      </x:c>
      <x:c r="R96" s="98" t="n">
        <x:v>0.635</x:v>
      </x:c>
      <x:c r="S96" s="98" t="n">
        <x:v>0.5</x:v>
      </x:c>
      <x:c r="T96" s="98" t="n">
        <x:v>0.76</x:v>
      </x:c>
      <x:c r="U96" s="98" t="n">
        <x:v>0.5</x:v>
      </x:c>
      <x:c r="V96" s="98" t="n">
        <x:v>0.64</x:v>
      </x:c>
      <x:c r="W96" s="98" t="n">
        <x:v>0.3341614906832298</x:v>
      </x:c>
      <x:c r="X96" s="90" t="str">
        <x:v>D</x:v>
      </x:c>
      <x:c r="Y96" s="90" t="n">
        <x:v>0</x:v>
      </x:c>
      <x:c r="Z96" s="90" t="str">
        <x:v>Economics, consumer analytics and Student Leader communication support analytical business decisions.</x:v>
      </x:c>
      <x:c r="AA96" s="90" t="str">
        <x:v>Exact posting still controls CPT eligibility; 3.31 GPA may sit below a preferred threshold; No matching public role found in reviewed trackers; LinkedIn network evidence pending</x:v>
      </x:c>
      <x:c r="AB96" s="90" t="str">
        <x:v>No matching role found in reviewed public trackers; treated as missing evidence, not a negative.</x:v>
      </x:c>
      <x:c r="AC96" s="90" t="str"/>
      <x:c r="AD96" s="90" t="str">
        <x:v>Aug-Oct 2026</x:v>
      </x:c>
      <x:c r="AE96" s="90" t="str">
        <x:v>https://www.ubs.com/global/en/careers/students.html</x:v>
      </x:c>
    </x:row>
    <x:row r="97" ht="54" customHeight="1">
      <x:c r="A97" s="90" t="n">
        <x:v>93</x:v>
      </x:c>
      <x:c r="B97" s="90" t="str">
        <x:v>EY</x:v>
      </x:c>
      <x:c r="C97" s="90" t="str">
        <x:v>Stretch</x:v>
      </x:c>
      <x:c r="D97" s="90" t="n">
        <x:v>94</x:v>
      </x:c>
      <x:c r="E97" s="90" t="n">
        <x:v>32</x:v>
      </x:c>
      <x:c r="F97" s="90" t="n">
        <x:v>140</x:v>
      </x:c>
      <x:c r="G97" s="98" t="n">
        <x:v>0.04928333333333333</x:v>
      </x:c>
      <x:c r="H97" s="98" t="n">
        <x:v>0.14091666666666666</x:v>
      </x:c>
      <x:c r="I97" s="98" t="n">
        <x:v>0.3932333333333333</x:v>
      </x:c>
      <x:c r="J97" s="90" t="str">
        <x:v>Low</x:v>
      </x:c>
      <x:c r="K97" s="90" t="str">
        <x:v>Consulting</x:v>
      </x:c>
      <x:c r="L97" s="90" t="str">
        <x:v>Data &amp; Analytics Intern</x:v>
      </x:c>
      <x:c r="M97" s="90" t="str">
        <x:v>Analytics Consulting</x:v>
      </x:c>
      <x:c r="N97" s="98" t="n">
        <x:v>0.7</x:v>
      </x:c>
      <x:c r="O97" s="90" t="str">
        <x:v>Role-specific; verify future-sponsorship wording</x:v>
      </x:c>
      <x:c r="P97" s="98" t="n">
        <x:v>0.8598413382796377</x:v>
      </x:c>
      <x:c r="Q97" s="98" t="n">
        <x:v>0.4522755885309176</x:v>
      </x:c>
      <x:c r="R97" s="98" t="n">
        <x:v>0.635</x:v>
      </x:c>
      <x:c r="S97" s="98" t="n">
        <x:v>0.5</x:v>
      </x:c>
      <x:c r="T97" s="98" t="n">
        <x:v>0.8</x:v>
      </x:c>
      <x:c r="U97" s="98" t="n">
        <x:v>0.5</x:v>
      </x:c>
      <x:c r="V97" s="98" t="n">
        <x:v>0.6799999999999999</x:v>
      </x:c>
      <x:c r="W97" s="98" t="n">
        <x:v>0.3937888198757764</x:v>
      </x:c>
      <x:c r="X97" s="90" t="str">
        <x:v>D</x:v>
      </x:c>
      <x:c r="Y97" s="90" t="n">
        <x:v>0</x:v>
      </x:c>
      <x:c r="Z97" s="90" t="str">
        <x:v>Technical analytics plus economics, research and residential leadership support client-facing analytical work.</x:v>
      </x:c>
      <x:c r="AA97" s="90" t="str">
        <x:v>CPT/future-sponsorship wording must be verified; 3.31 GPA may sit below a preferred threshold; No matching public role found in reviewed trackers; LinkedIn network evidence pending</x:v>
      </x:c>
      <x:c r="AB97" s="90" t="str">
        <x:v>No matching role found in reviewed public trackers; treated as missing evidence, not a negative.</x:v>
      </x:c>
      <x:c r="AC97" s="90" t="str"/>
      <x:c r="AD97" s="90" t="str">
        <x:v>Opens Jul-Sep 2026, rolling by office.</x:v>
      </x:c>
      <x:c r="AE97" s="90" t="str">
        <x:v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x:v>
      </x:c>
    </x:row>
    <x:row r="98" ht="54" customHeight="1">
      <x:c r="A98" s="90" t="n">
        <x:v>94</x:v>
      </x:c>
      <x:c r="B98" s="90" t="str">
        <x:v>Nomura</x:v>
      </x:c>
      <x:c r="C98" s="90" t="str">
        <x:v>Stretch</x:v>
      </x:c>
      <x:c r="D98" s="90" t="n">
        <x:v>95</x:v>
      </x:c>
      <x:c r="E98" s="90" t="n">
        <x:v>43</x:v>
      </x:c>
      <x:c r="F98" s="90" t="n">
        <x:v>134</x:v>
      </x:c>
      <x:c r="G98" s="98" t="n">
        <x:v>0.020316666666666667</x:v>
      </x:c>
      <x:c r="H98" s="98" t="n">
        <x:v>0.0868</x:v>
      </x:c>
      <x:c r="I98" s="98" t="n">
        <x:v>0.3597666666666667</x:v>
      </x:c>
      <x:c r="J98" s="90" t="str">
        <x:v>Low</x:v>
      </x:c>
      <x:c r="K98" s="90" t="str">
        <x:v>Finance</x:v>
      </x:c>
      <x:c r="L98" s="90" t="str">
        <x:v>Quant / Data Summer Analyst</x:v>
      </x:c>
      <x:c r="M98" s="90" t="str">
        <x:v>Business/Strategy Analytics</x:v>
      </x:c>
      <x:c r="N98" s="98" t="n">
        <x:v>0.82</x:v>
      </x:c>
      <x:c r="O98" s="90" t="str">
        <x:v>Likely workable; verify exact posting</x:v>
      </x:c>
      <x:c r="P98" s="98" t="n">
        <x:v>0.7864283456515395</x:v>
      </x:c>
      <x:c r="Q98" s="98" t="n">
        <x:v>0.25618897101026267</x:v>
      </x:c>
      <x:c r="R98" s="98" t="n">
        <x:v>0.635</x:v>
      </x:c>
      <x:c r="S98" s="98" t="n">
        <x:v>0.5</x:v>
      </x:c>
      <x:c r="T98" s="98" t="n">
        <x:v>0.76</x:v>
      </x:c>
      <x:c r="U98" s="98" t="n">
        <x:v>0.5</x:v>
      </x:c>
      <x:c r="V98" s="98" t="n">
        <x:v>0.64</x:v>
      </x:c>
      <x:c r="W98" s="98" t="n">
        <x:v>0.31925465838509315</x:v>
      </x:c>
      <x:c r="X98" s="90" t="str">
        <x:v>D</x:v>
      </x:c>
      <x:c r="Y98" s="90" t="n">
        <x:v>0</x:v>
      </x:c>
      <x:c r="Z98" s="90" t="str">
        <x:v>Economics, consumer analytics and Student Leader communication support analytical business decisions.</x:v>
      </x:c>
      <x:c r="AA98" s="90" t="str">
        <x:v>Exact posting still controls CPT eligibility; 3.31 GPA may sit below a preferred threshold; No matching public role found in reviewed trackers; LinkedIn network evidence pending</x:v>
      </x:c>
      <x:c r="AB98" s="90" t="str">
        <x:v>No matching role found in reviewed public trackers; treated as missing evidence, not a negative.</x:v>
      </x:c>
      <x:c r="AC98" s="90" t="str"/>
      <x:c r="AD98" s="90" t="str">
        <x:v>Sep-Nov 2026</x:v>
      </x:c>
      <x:c r="AE98" s="90" t="str">
        <x:v>https://www.nomura.com/careers/</x:v>
      </x:c>
    </x:row>
    <x:row r="99" ht="54" customHeight="1">
      <x:c r="A99" s="90" t="n">
        <x:v>95</x:v>
      </x:c>
      <x:c r="B99" s="90" t="str">
        <x:v>Chewy</x:v>
      </x:c>
      <x:c r="C99" s="90" t="str">
        <x:v>Stretch</x:v>
      </x:c>
      <x:c r="D99" s="90" t="n">
        <x:v>95</x:v>
      </x:c>
      <x:c r="E99" s="90" t="n">
        <x:v>31</x:v>
      </x:c>
      <x:c r="F99" s="90" t="n">
        <x:v>141</x:v>
      </x:c>
      <x:c r="G99" s="98" t="n">
        <x:v>0.05856666666666667</x:v>
      </x:c>
      <x:c r="H99" s="98" t="n">
        <x:v>0.14568333333333333</x:v>
      </x:c>
      <x:c r="I99" s="98" t="n">
        <x:v>0.39043333333333335</x:v>
      </x:c>
      <x:c r="J99" s="90" t="str">
        <x:v>Low</x:v>
      </x:c>
      <x:c r="K99" s="90" t="str">
        <x:v>Big Tech</x:v>
      </x:c>
      <x:c r="L99" s="90" t="str">
        <x:v>Data Science Intern</x:v>
      </x:c>
      <x:c r="M99" s="90" t="str">
        <x:v>Data Science</x:v>
      </x:c>
      <x:c r="N99" s="98" t="n">
        <x:v>0.62</x:v>
      </x:c>
      <x:c r="O99" s="90" t="str">
        <x:v>Role-specific; verify future-sponsorship wording</x:v>
      </x:c>
      <x:c r="P99" s="98" t="n">
        <x:v>0.8667079075710682</x:v>
      </x:c>
      <x:c r="Q99" s="98" t="n">
        <x:v>0.7647193838071218</x:v>
      </x:c>
      <x:c r="R99" s="98" t="n">
        <x:v>0.545</x:v>
      </x:c>
      <x:c r="S99" s="98" t="n">
        <x:v>0.5</x:v>
      </x:c>
      <x:c r="T99" s="98" t="n">
        <x:v>0.88</x:v>
      </x:c>
      <x:c r="U99" s="98" t="n">
        <x:v>0.5</x:v>
      </x:c>
      <x:c r="V99" s="98" t="n">
        <x:v>0.76</x:v>
      </x:c>
      <x:c r="W99" s="98" t="n">
        <x:v>0.577639751552795</x:v>
      </x:c>
      <x:c r="X99" s="90" t="str">
        <x:v>D</x:v>
      </x:c>
      <x:c r="Y99" s="90" t="n">
        <x:v>0</x:v>
      </x:c>
      <x:c r="Z99" s="90" t="str">
        <x:v>ALSAC data science, propensity modeling, DataRobot, Python/SQL and ML research form a clear progression.</x:v>
      </x:c>
      <x:c r="AA99" s="90" t="str">
        <x:v>CPT/future-sponsorship wording must be verified; Observed roles show graduate-degree skew; No matching public role found in reviewed trackers; LinkedIn network evidence pending</x:v>
      </x:c>
      <x:c r="AB99" s="90" t="str">
        <x:v>No matching role found in reviewed public trackers; treated as missing evidence, not a negative.</x:v>
      </x:c>
      <x:c r="AC99" s="90" t="str"/>
      <x:c r="AD99" s="90" t="str">
        <x:v>Oct-Dec 2026</x:v>
      </x:c>
      <x:c r="AE99" s="90" t="str">
        <x:v>https://careers.chewy.com/us/en/university</x:v>
      </x:c>
    </x:row>
    <x:row r="100" ht="54" customHeight="1">
      <x:c r="A100" s="90" t="n">
        <x:v>96</x:v>
      </x:c>
      <x:c r="B100" s="90" t="str">
        <x:v>Etsy</x:v>
      </x:c>
      <x:c r="C100" s="90" t="str">
        <x:v>Stretch</x:v>
      </x:c>
      <x:c r="D100" s="90" t="n">
        <x:v>95</x:v>
      </x:c>
      <x:c r="E100" s="90" t="n">
        <x:v>30</x:v>
      </x:c>
      <x:c r="F100" s="90" t="n">
        <x:v>141</x:v>
      </x:c>
      <x:c r="G100" s="98" t="n">
        <x:v>0.059116666666666665</x:v>
      </x:c>
      <x:c r="H100" s="98" t="n">
        <x:v>0.14918333333333333</x:v>
      </x:c>
      <x:c r="I100" s="98" t="n">
        <x:v>0.39425</x:v>
      </x:c>
      <x:c r="J100" s="90" t="str">
        <x:v>Low</x:v>
      </x:c>
      <x:c r="K100" s="90" t="str">
        <x:v>Big Tech</x:v>
      </x:c>
      <x:c r="L100" s="90" t="str">
        <x:v>Data Science Intern</x:v>
      </x:c>
      <x:c r="M100" s="90" t="str">
        <x:v>Data Science</x:v>
      </x:c>
      <x:c r="N100" s="98" t="n">
        <x:v>0.62</x:v>
      </x:c>
      <x:c r="O100" s="90" t="str">
        <x:v>Role-specific; verify future-sponsorship wording</x:v>
      </x:c>
      <x:c r="P100" s="98" t="n">
        <x:v>0.8667079075710682</x:v>
      </x:c>
      <x:c r="Q100" s="98" t="n">
        <x:v>0.7647193838071218</x:v>
      </x:c>
      <x:c r="R100" s="98" t="n">
        <x:v>0.545</x:v>
      </x:c>
      <x:c r="S100" s="98" t="n">
        <x:v>0.5</x:v>
      </x:c>
      <x:c r="T100" s="98" t="n">
        <x:v>0.88</x:v>
      </x:c>
      <x:c r="U100" s="98" t="n">
        <x:v>0.5</x:v>
      </x:c>
      <x:c r="V100" s="98" t="n">
        <x:v>0.76</x:v>
      </x:c>
      <x:c r="W100" s="98" t="n">
        <x:v>0.5826086956521739</x:v>
      </x:c>
      <x:c r="X100" s="90" t="str">
        <x:v>D</x:v>
      </x:c>
      <x:c r="Y100" s="90" t="n">
        <x:v>0</x:v>
      </x:c>
      <x:c r="Z100" s="90" t="str">
        <x:v>ALSAC data science, propensity modeling, DataRobot, Python/SQL and ML research form a clear progression.</x:v>
      </x:c>
      <x:c r="AA100" s="90" t="str">
        <x:v>CPT/future-sponsorship wording must be verified; Observed roles show graduate-degree skew; No matching public role found in reviewed trackers; LinkedIn network evidence pending</x:v>
      </x:c>
      <x:c r="AB100" s="90" t="str">
        <x:v>No matching role found in reviewed public trackers; treated as missing evidence, not a negative.</x:v>
      </x:c>
      <x:c r="AC100" s="90" t="str"/>
      <x:c r="AD100" s="90" t="str">
        <x:v>Oct-Dec 2026</x:v>
      </x:c>
      <x:c r="AE100" s="90" t="str">
        <x:v>https://careers.etsy.com/global/en/students</x:v>
      </x:c>
    </x:row>
    <x:row r="101" ht="54" customHeight="1">
      <x:c r="A101" s="90" t="n">
        <x:v>97</x:v>
      </x:c>
      <x:c r="B101" s="90" t="str">
        <x:v>Citi</x:v>
      </x:c>
      <x:c r="C101" s="90" t="str">
        <x:v>Stretch</x:v>
      </x:c>
      <x:c r="D101" s="90" t="n">
        <x:v>96</x:v>
      </x:c>
      <x:c r="E101" s="90" t="n">
        <x:v>46</x:v>
      </x:c>
      <x:c r="F101" s="90" t="n">
        <x:v>134</x:v>
      </x:c>
      <x:c r="G101" s="98" t="n">
        <x:v>0.015316666666666666</x:v>
      </x:c>
      <x:c r="H101" s="98" t="n">
        <x:v>0.0728</x:v>
      </x:c>
      <x:c r="I101" s="98" t="n">
        <x:v>0.34686666666666666</x:v>
      </x:c>
      <x:c r="J101" s="90" t="str">
        <x:v>Low</x:v>
      </x:c>
      <x:c r="K101" s="90" t="str">
        <x:v>Finance</x:v>
      </x:c>
      <x:c r="L101" s="90" t="str">
        <x:v>Data Science / Technology Summer Analyst</x:v>
      </x:c>
      <x:c r="M101" s="90" t="str">
        <x:v>Data Science</x:v>
      </x:c>
      <x:c r="N101" s="98" t="n">
        <x:v>0.82</x:v>
      </x:c>
      <x:c r="O101" s="90" t="str">
        <x:v>Likely workable; verify exact posting</x:v>
      </x:c>
      <x:c r="P101" s="98" t="n">
        <x:v>0.8160184065741429</x:v>
      </x:c>
      <x:c r="Q101" s="98" t="n">
        <x:v>0.42678937716095255</x:v>
      </x:c>
      <x:c r="R101" s="98" t="n">
        <x:v>0.53375</x:v>
      </x:c>
      <x:c r="S101" s="98" t="n">
        <x:v>0.5</x:v>
      </x:c>
      <x:c r="T101" s="98" t="n">
        <x:v>0.76</x:v>
      </x:c>
      <x:c r="U101" s="98" t="n">
        <x:v>0.5</x:v>
      </x:c>
      <x:c r="V101" s="98" t="n">
        <x:v>0.64</x:v>
      </x:c>
      <x:c r="W101" s="98" t="n">
        <x:v>0.3440993788819876</x:v>
      </x:c>
      <x:c r="X101" s="90" t="str">
        <x:v>C</x:v>
      </x:c>
      <x:c r="Y101" s="90" t="n">
        <x:v>1</x:v>
      </x:c>
      <x:c r="Z101" s="90" t="str">
        <x:v>ALSAC data science, propensity modeling, DataRobot, Python/SQL and ML research form a clear progression.</x:v>
      </x:c>
      <x:c r="AA101" s="90" t="str">
        <x:v>Exact posting still controls CPT eligibility; 3.31 GPA may sit below a preferred threshold; Observed roles show graduate-degree skew; LinkedIn network evidence pending</x:v>
      </x:c>
      <x:c r="AB101" s="90" t="str">
        <x:v>2027: Markets Quantitative Analysis Summer Analyst (undergrad, off_target)</x:v>
      </x:c>
      <x:c r="AC101" s="90" t="str">
        <x:v>https://raw.githubusercontent.com/sndsh404/summer-2027-internships/main/README.md</x:v>
      </x:c>
      <x:c r="AD101" s="90" t="str">
        <x:v>Jul-Sep 2026</x:v>
      </x:c>
      <x:c r="AE101" s="90" t="str">
        <x:v>https://jobs.citi.com/students-and-graduates</x:v>
      </x:c>
    </x:row>
    <x:row r="102" ht="54" customHeight="1">
      <x:c r="A102" s="90" t="n">
        <x:v>98</x:v>
      </x:c>
      <x:c r="B102" s="90" t="str">
        <x:v>Brinker International (Chili's)</x:v>
      </x:c>
      <x:c r="C102" s="90" t="str">
        <x:v>Stretch</x:v>
      </x:c>
      <x:c r="D102" s="90" t="n">
        <x:v>96</x:v>
      </x:c>
      <x:c r="E102" s="90" t="n">
        <x:v>33</x:v>
      </x:c>
      <x:c r="F102" s="90" t="n">
        <x:v>140</x:v>
      </x:c>
      <x:c r="G102" s="98" t="n">
        <x:v>0.050083333333333334</x:v>
      </x:c>
      <x:c r="H102" s="98" t="n">
        <x:v>0.13513333333333333</x:v>
      </x:c>
      <x:c r="I102" s="98" t="n">
        <x:v>0.38101666666666667</x:v>
      </x:c>
      <x:c r="J102" s="90" t="str">
        <x:v>Low</x:v>
      </x:c>
      <x:c r="K102" s="90" t="str">
        <x:v>Consumer</x:v>
      </x:c>
      <x:c r="L102" s="90" t="str">
        <x:v>Data &amp; Analytics Intern</x:v>
      </x:c>
      <x:c r="M102" s="90" t="str">
        <x:v>Data Analytics</x:v>
      </x:c>
      <x:c r="N102" s="98" t="n">
        <x:v>0.62</x:v>
      </x:c>
      <x:c r="O102" s="90" t="str">
        <x:v>Role-specific; verify future-sponsorship wording</x:v>
      </x:c>
      <x:c r="P102" s="98" t="n">
        <x:v>0.9367192584188541</x:v>
      </x:c>
      <x:c r="Q102" s="98" t="n">
        <x:v>0.5781283894590271</x:v>
      </x:c>
      <x:c r="R102" s="98" t="n">
        <x:v>0.644</x:v>
      </x:c>
      <x:c r="S102" s="98" t="n">
        <x:v>0.5</x:v>
      </x:c>
      <x:c r="T102" s="98" t="n">
        <x:v>0.28</x:v>
      </x:c>
      <x:c r="U102" s="98" t="n">
        <x:v>0.5</x:v>
      </x:c>
      <x:c r="V102" s="98" t="n">
        <x:v>0.76</x:v>
      </x:c>
      <x:c r="W102" s="98" t="n">
        <x:v>0.9453416149068323</x:v>
      </x:c>
      <x:c r="X102" s="90" t="str">
        <x:v>D</x:v>
      </x:c>
      <x:c r="Y102" s="90" t="n">
        <x:v>0</x:v>
      </x:c>
      <x:c r="Z102" s="90" t="str">
        <x:v>Three analytics internships plus SQL, Python, Tableau, forecasting and segmentation directly match the lane.</x:v>
      </x:c>
      <x:c r="AA102" s="90" t="str">
        <x:v>CPT/future-sponsorship wording must be verified; Low personal industry preference; No matching public role found in reviewed trackers; LinkedIn network evidence pending</x:v>
      </x:c>
      <x:c r="AB102" s="90" t="str">
        <x:v>No matching role found in reviewed public trackers; treated as missing evidence, not a negative.</x:v>
      </x:c>
      <x:c r="AC102" s="90" t="str"/>
      <x:c r="AD102" s="90" t="str">
        <x:v>Sep-Nov 2026</x:v>
      </x:c>
      <x:c r="AE102" s="90" t="str">
        <x:v>https://careers.brinker.com</x:v>
      </x:c>
    </x:row>
    <x:row r="103" ht="54" customHeight="1">
      <x:c r="A103" s="90" t="n">
        <x:v>99</x:v>
      </x:c>
      <x:c r="B103" s="90" t="str">
        <x:v>Scale AI</x:v>
      </x:c>
      <x:c r="C103" s="90" t="str">
        <x:v>Stretch</x:v>
      </x:c>
      <x:c r="D103" s="90" t="n">
        <x:v>96</x:v>
      </x:c>
      <x:c r="E103" s="90" t="n">
        <x:v>32</x:v>
      </x:c>
      <x:c r="F103" s="90" t="n">
        <x:v>141</x:v>
      </x:c>
      <x:c r="G103" s="98" t="n">
        <x:v>0.05338333333333333</x:v>
      </x:c>
      <x:c r="H103" s="98" t="n">
        <x:v>0.14205</x:v>
      </x:c>
      <x:c r="I103" s="98" t="n">
        <x:v>0.38206666666666667</x:v>
      </x:c>
      <x:c r="J103" s="90" t="str">
        <x:v>Low</x:v>
      </x:c>
      <x:c r="K103" s="90" t="str">
        <x:v>Big Tech / AI</x:v>
      </x:c>
      <x:c r="L103" s="90" t="str">
        <x:v>Data Science / Analytics Intern</x:v>
      </x:c>
      <x:c r="M103" s="90" t="str">
        <x:v>Data Science</x:v>
      </x:c>
      <x:c r="N103" s="98" t="n">
        <x:v>0.62</x:v>
      </x:c>
      <x:c r="O103" s="90" t="str">
        <x:v>Role-specific; verify future-sponsorship wording</x:v>
      </x:c>
      <x:c r="P103" s="98" t="n">
        <x:v>0.8853645168220068</x:v>
      </x:c>
      <x:c r="Q103" s="98" t="n">
        <x:v>0.8890967788133788</x:v>
      </x:c>
      <x:c r="R103" s="98" t="n">
        <x:v>0.545</x:v>
      </x:c>
      <x:c r="S103" s="98" t="n">
        <x:v>0.5</x:v>
      </x:c>
      <x:c r="T103" s="98" t="n">
        <x:v>0.92</x:v>
      </x:c>
      <x:c r="U103" s="98" t="n">
        <x:v>0.5</x:v>
      </x:c>
      <x:c r="V103" s="98" t="n">
        <x:v>0.76</x:v>
      </x:c>
      <x:c r="W103" s="98" t="n">
        <x:v>0.4732919254658385</x:v>
      </x:c>
      <x:c r="X103" s="90" t="str">
        <x:v>D</x:v>
      </x:c>
      <x:c r="Y103" s="90" t="n">
        <x:v>0</x:v>
      </x:c>
      <x:c r="Z103" s="90" t="str">
        <x:v>ALSAC data science, propensity modeling, DataRobot, Python/SQL and ML research form a clear progression.</x:v>
      </x:c>
      <x:c r="AA103" s="90" t="str">
        <x:v>CPT/future-sponsorship wording must be verified; Observed roles show graduate-degree skew; No matching public role found in reviewed trackers; LinkedIn network evidence pending</x:v>
      </x:c>
      <x:c r="AB103" s="90" t="str">
        <x:v>No matching role found in reviewed public trackers; treated as missing evidence, not a negative.</x:v>
      </x:c>
      <x:c r="AC103" s="90" t="str"/>
      <x:c r="AD103" s="90" t="str">
        <x:v>Sep-Nov 2026</x:v>
      </x:c>
      <x:c r="AE103" s="90" t="str">
        <x:v>https://scale.com/careers</x:v>
      </x:c>
    </x:row>
    <x:row r="104" ht="54" customHeight="1">
      <x:c r="A104" s="90" t="n">
        <x:v>100</x:v>
      </x:c>
      <x:c r="B104" s="90" t="str">
        <x:v>Walmart Global Tech</x:v>
      </x:c>
      <x:c r="C104" s="90" t="str">
        <x:v>Stretch</x:v>
      </x:c>
      <x:c r="D104" s="90" t="n">
        <x:v>98</x:v>
      </x:c>
      <x:c r="E104" s="90" t="n">
        <x:v>50</x:v>
      </x:c>
      <x:c r="F104" s="90" t="n">
        <x:v>134</x:v>
      </x:c>
      <x:c r="G104" s="98" t="n">
        <x:v>0.010816666666666667</x:v>
      </x:c>
      <x:c r="H104" s="98" t="n">
        <x:v>0.05995</x:v>
      </x:c>
      <x:c r="I104" s="98" t="n">
        <x:v>0.3229166666666667</x:v>
      </x:c>
      <x:c r="J104" s="90" t="str">
        <x:v>Low</x:v>
      </x:c>
      <x:c r="K104" s="90" t="str">
        <x:v>Retail/Tech</x:v>
      </x:c>
      <x:c r="L104" s="90" t="str">
        <x:v>Data Science Intern</x:v>
      </x:c>
      <x:c r="M104" s="90" t="str">
        <x:v>Data Science</x:v>
      </x:c>
      <x:c r="N104" s="98" t="n">
        <x:v>0.82</x:v>
      </x:c>
      <x:c r="O104" s="90" t="str">
        <x:v>Likely workable; verify exact posting</x:v>
      </x:c>
      <x:c r="P104" s="98" t="n">
        <x:v>0.8035820966203825</x:v>
      </x:c>
      <x:c r="Q104" s="98" t="n">
        <x:v>0.3438806441358832</x:v>
      </x:c>
      <x:c r="R104" s="98" t="n">
        <x:v>0.4665939351170145</x:v>
      </x:c>
      <x:c r="S104" s="98" t="n">
        <x:v>0.05</x:v>
      </x:c>
      <x:c r="T104" s="98" t="n">
        <x:v>0.28</x:v>
      </x:c>
      <x:c r="U104" s="98" t="n">
        <x:v>0.5</x:v>
      </x:c>
      <x:c r="V104" s="98" t="n">
        <x:v>0.76</x:v>
      </x:c>
      <x:c r="W104" s="98" t="n">
        <x:v>0.9254658385093167</x:v>
      </x:c>
      <x:c r="X104" s="90" t="str">
        <x:v>C</x:v>
      </x:c>
      <x:c r="Y104" s="90" t="n">
        <x:v>1</x:v>
      </x:c>
      <x:c r="Z104" s="90" t="str">
        <x:v>ALSAC data science, propensity modeling, DataRobot, Python/SQL and ML research form a clear progression.</x:v>
      </x:c>
      <x:c r="AA104" s="90" t="str">
        <x:v>Exact posting still controls CPT eligibility; Observed roles show graduate-degree skew; Low personal industry preference; LinkedIn network evidence pending</x:v>
      </x:c>
      <x:c r="AB104" s="90" t="str">
        <x:v>2026: Senior Data Science Intern (graduate_only, exact)</x:v>
      </x:c>
      <x:c r="AC104" s="90" t="str">
        <x:v>https://raw.githubusercontent.com/SimplifyJobs/Summer2026-Internships/refs/heads/dev/README-Inactive.md</x:v>
      </x:c>
      <x:c r="AD104" s="90" t="str">
        <x:v>Aug-Oct 2026</x:v>
      </x:c>
      <x:c r="AE104" s="90" t="str">
        <x:v>https://careers.walmart.com/us/students</x:v>
      </x:c>
    </x:row>
    <x:row r="105" ht="54" customHeight="1">
      <x:c r="A105" s="90" t="n">
        <x:v>101</x:v>
      </x:c>
      <x:c r="B105" s="90" t="str">
        <x:v>AutoZone</x:v>
      </x:c>
      <x:c r="C105" s="90" t="str">
        <x:v>Stretch</x:v>
      </x:c>
      <x:c r="D105" s="90" t="n">
        <x:v>98</x:v>
      </x:c>
      <x:c r="E105" s="90" t="n">
        <x:v>36</x:v>
      </x:c>
      <x:c r="F105" s="90" t="n">
        <x:v>142</x:v>
      </x:c>
      <x:c r="G105" s="98" t="n">
        <x:v>0.04346666666666667</x:v>
      </x:c>
      <x:c r="H105" s="98" t="n">
        <x:v>0.12218333333333334</x:v>
      </x:c>
      <x:c r="I105" s="98" t="n">
        <x:v>0.3610333333333333</x:v>
      </x:c>
      <x:c r="J105" s="90" t="str">
        <x:v>Low</x:v>
      </x:c>
      <x:c r="K105" s="90" t="str">
        <x:v>Retail</x:v>
      </x:c>
      <x:c r="L105" s="90" t="str">
        <x:v>Data Analytics Intern</x:v>
      </x:c>
      <x:c r="M105" s="90" t="str">
        <x:v>Data Analytics</x:v>
      </x:c>
      <x:c r="N105" s="98" t="n">
        <x:v>0.62</x:v>
      </x:c>
      <x:c r="O105" s="90" t="str">
        <x:v>Role-specific; verify future-sponsorship wording</x:v>
      </x:c>
      <x:c r="P105" s="98" t="n">
        <x:v>0.9143413921888797</x:v>
      </x:c>
      <x:c r="Q105" s="98" t="n">
        <x:v>0.428942614592531</x:v>
      </x:c>
      <x:c r="R105" s="98" t="n">
        <x:v>0.644</x:v>
      </x:c>
      <x:c r="S105" s="98" t="n">
        <x:v>0.5</x:v>
      </x:c>
      <x:c r="T105" s="98" t="n">
        <x:v>0.28</x:v>
      </x:c>
      <x:c r="U105" s="98" t="n">
        <x:v>0.5</x:v>
      </x:c>
      <x:c r="V105" s="98" t="n">
        <x:v>0.76</x:v>
      </x:c>
      <x:c r="W105" s="98" t="n">
        <x:v>0.9403726708074535</x:v>
      </x:c>
      <x:c r="X105" s="90" t="str">
        <x:v>D</x:v>
      </x:c>
      <x:c r="Y105" s="90" t="n">
        <x:v>0</x:v>
      </x:c>
      <x:c r="Z105" s="90" t="str">
        <x:v>Three analytics internships plus SQL, Python, Tableau, forecasting and segmentation directly match the lane.</x:v>
      </x:c>
      <x:c r="AA105" s="90" t="str">
        <x:v>CPT/future-sponsorship wording must be verified; Low personal industry preference; No matching public role found in reviewed trackers; LinkedIn network evidence pending</x:v>
      </x:c>
      <x:c r="AB105" s="90" t="str">
        <x:v>No matching role found in reviewed public trackers; treated as missing evidence, not a negative.</x:v>
      </x:c>
      <x:c r="AC105" s="90" t="str"/>
      <x:c r="AD105" s="90" t="str">
        <x:v>Sep-Nov 2026</x:v>
      </x:c>
      <x:c r="AE105" s="90" t="str">
        <x:v>https://careers.autozone.com</x:v>
      </x:c>
    </x:row>
    <x:row r="106" ht="54" customHeight="1">
      <x:c r="A106" s="90" t="n">
        <x:v>102</x:v>
      </x:c>
      <x:c r="B106" s="90" t="str">
        <x:v>Barclays</x:v>
      </x:c>
      <x:c r="C106" s="90" t="str">
        <x:v>Stretch</x:v>
      </x:c>
      <x:c r="D106" s="90" t="n">
        <x:v>99</x:v>
      </x:c>
      <x:c r="E106" s="90" t="n">
        <x:v>47</x:v>
      </x:c>
      <x:c r="F106" s="90" t="n">
        <x:v>136</x:v>
      </x:c>
      <x:c r="G106" s="98" t="n">
        <x:v>0.015733333333333332</x:v>
      </x:c>
      <x:c r="H106" s="98" t="n">
        <x:v>0.07043333333333333</x:v>
      </x:c>
      <x:c r="I106" s="98" t="n">
        <x:v>0.3243</x:v>
      </x:c>
      <x:c r="J106" s="90" t="str">
        <x:v>Low</x:v>
      </x:c>
      <x:c r="K106" s="90" t="str">
        <x:v>Finance</x:v>
      </x:c>
      <x:c r="L106" s="90" t="str">
        <x:v>Data Science / Tech Summer Analyst</x:v>
      </x:c>
      <x:c r="M106" s="90" t="str">
        <x:v>Data Science</x:v>
      </x:c>
      <x:c r="N106" s="98" t="n">
        <x:v>0.82</x:v>
      </x:c>
      <x:c r="O106" s="90" t="str">
        <x:v>Likely workable; verify exact posting</x:v>
      </x:c>
      <x:c r="P106" s="98" t="n">
        <x:v>0.7998113055423648</x:v>
      </x:c>
      <x:c r="Q106" s="98" t="n">
        <x:v>0.3187420369490986</x:v>
      </x:c>
      <x:c r="R106" s="98" t="n">
        <x:v>0.545</x:v>
      </x:c>
      <x:c r="S106" s="98" t="n">
        <x:v>0.5</x:v>
      </x:c>
      <x:c r="T106" s="98" t="n">
        <x:v>0.76</x:v>
      </x:c>
      <x:c r="U106" s="98" t="n">
        <x:v>0.5</x:v>
      </x:c>
      <x:c r="V106" s="98" t="n">
        <x:v>0.64</x:v>
      </x:c>
      <x:c r="W106" s="98" t="n">
        <x:v>0.3391304347826087</x:v>
      </x:c>
      <x:c r="X106" s="90" t="str">
        <x:v>D</x:v>
      </x:c>
      <x:c r="Y106" s="90" t="n">
        <x:v>0</x:v>
      </x:c>
      <x:c r="Z106" s="90" t="str">
        <x:v>ALSAC data science, propensity modeling, DataRobot, Python/SQL and ML research form a clear progression.</x:v>
      </x:c>
      <x:c r="AA106" s="90" t="str">
        <x:v>Exact posting still controls CPT eligibility; 3.31 GPA may sit below a preferred threshold; Observed roles show graduate-degree skew; No matching public role found in reviewed trackers; LinkedIn network evidence pending</x:v>
      </x:c>
      <x:c r="AB106" s="90" t="str">
        <x:v>No matching role found in reviewed public trackers; treated as missing evidence, not a negative.</x:v>
      </x:c>
      <x:c r="AC106" s="90" t="str"/>
      <x:c r="AD106" s="90" t="str">
        <x:v>Aug-Oct 2026</x:v>
      </x:c>
      <x:c r="AE106" s="90" t="str">
        <x:v>https://search.jobs.barclays/students</x:v>
      </x:c>
    </x:row>
    <x:row r="107" ht="54" customHeight="1">
      <x:c r="A107" s="90" t="n">
        <x:v>103</x:v>
      </x:c>
      <x:c r="B107" s="90" t="str">
        <x:v>Morgan Stanley</x:v>
      </x:c>
      <x:c r="C107" s="90" t="str">
        <x:v>Stretch</x:v>
      </x:c>
      <x:c r="D107" s="90" t="n">
        <x:v>100</x:v>
      </x:c>
      <x:c r="E107" s="90" t="n">
        <x:v>49</x:v>
      </x:c>
      <x:c r="F107" s="90" t="n">
        <x:v>137</x:v>
      </x:c>
      <x:c r="G107" s="98" t="n">
        <x:v>0.013933333333333334</x:v>
      </x:c>
      <x:c r="H107" s="98" t="n">
        <x:v>0.06481666666666666</x:v>
      </x:c>
      <x:c r="I107" s="98" t="n">
        <x:v>0.31165</x:v>
      </x:c>
      <x:c r="J107" s="90" t="str">
        <x:v>Low</x:v>
      </x:c>
      <x:c r="K107" s="90" t="str">
        <x:v>Finance</x:v>
      </x:c>
      <x:c r="L107" s="90" t="str">
        <x:v>Technology / Quant Summer Analyst</x:v>
      </x:c>
      <x:c r="M107" s="90" t="str">
        <x:v>Business/Strategy Analytics</x:v>
      </x:c>
      <x:c r="N107" s="98" t="n">
        <x:v>0.82</x:v>
      </x:c>
      <x:c r="O107" s="90" t="str">
        <x:v>Likely workable; verify exact posting</x:v>
      </x:c>
      <x:c r="P107" s="98" t="n">
        <x:v>0.7811077088810062</x:v>
      </x:c>
      <x:c r="Q107" s="98" t="n">
        <x:v>0.2207180592067079</x:v>
      </x:c>
      <x:c r="R107" s="98" t="n">
        <x:v>0.635</x:v>
      </x:c>
      <x:c r="S107" s="98" t="n">
        <x:v>0.5</x:v>
      </x:c>
      <x:c r="T107" s="98" t="n">
        <x:v>0.76</x:v>
      </x:c>
      <x:c r="U107" s="98" t="n">
        <x:v>0.5</x:v>
      </x:c>
      <x:c r="V107" s="98" t="n">
        <x:v>0.64</x:v>
      </x:c>
      <x:c r="W107" s="98" t="n">
        <x:v>0.25465838509316774</x:v>
      </x:c>
      <x:c r="X107" s="90" t="str">
        <x:v>D</x:v>
      </x:c>
      <x:c r="Y107" s="90" t="n">
        <x:v>0</x:v>
      </x:c>
      <x:c r="Z107" s="90" t="str">
        <x:v>Economics, consumer analytics and Student Leader communication support analytical business decisions.</x:v>
      </x:c>
      <x:c r="AA107" s="90" t="str">
        <x:v>Exact posting still controls CPT eligibility; 3.31 GPA may sit below a preferred threshold; No matching public role found in reviewed trackers; LinkedIn network evidence pending</x:v>
      </x:c>
      <x:c r="AB107" s="90" t="str">
        <x:v>No matching role found in reviewed public trackers; treated as missing evidence, not a negative.</x:v>
      </x:c>
      <x:c r="AC107" s="90" t="str"/>
      <x:c r="AD107" s="90" t="str">
        <x:v>Opens Jul-Aug 2026; hard deadlines by division.</x:v>
      </x:c>
      <x:c r="AE107" s="90" t="str">
        <x:v>https://www.morganstanley.com/careers/students-graduates</x:v>
      </x:c>
    </x:row>
    <x:row r="108" ht="54" customHeight="1">
      <x:c r="A108" s="90" t="n">
        <x:v>104</x:v>
      </x:c>
      <x:c r="B108" s="90" t="str">
        <x:v>Dell Technologies</x:v>
      </x:c>
      <x:c r="C108" s="90" t="str">
        <x:v>Stretch</x:v>
      </x:c>
      <x:c r="D108" s="90" t="n">
        <x:v>100</x:v>
      </x:c>
      <x:c r="E108" s="90" t="n">
        <x:v>34</x:v>
      </x:c>
      <x:c r="F108" s="90" t="n">
        <x:v>143</x:v>
      </x:c>
      <x:c r="G108" s="98" t="n">
        <x:v>0.046566666666666666</x:v>
      </x:c>
      <x:c r="H108" s="98" t="n">
        <x:v>0.12661666666666666</x:v>
      </x:c>
      <x:c r="I108" s="98" t="n">
        <x:v>0.3542</x:v>
      </x:c>
      <x:c r="J108" s="90" t="str">
        <x:v>Low</x:v>
      </x:c>
      <x:c r="K108" s="90" t="str">
        <x:v>Big Tech</x:v>
      </x:c>
      <x:c r="L108" s="90" t="str">
        <x:v>Data Science Intern</x:v>
      </x:c>
      <x:c r="M108" s="90" t="str">
        <x:v>Data Science</x:v>
      </x:c>
      <x:c r="N108" s="98" t="n">
        <x:v>0.62</x:v>
      </x:c>
      <x:c r="O108" s="90" t="str">
        <x:v>Role-specific; verify future-sponsorship wording</x:v>
      </x:c>
      <x:c r="P108" s="98" t="n">
        <x:v>0.8667079075710682</x:v>
      </x:c>
      <x:c r="Q108" s="98" t="n">
        <x:v>0.7647193838071218</x:v>
      </x:c>
      <x:c r="R108" s="98" t="n">
        <x:v>0.545</x:v>
      </x:c>
      <x:c r="S108" s="98" t="n">
        <x:v>0.5</x:v>
      </x:c>
      <x:c r="T108" s="98" t="n">
        <x:v>0.88</x:v>
      </x:c>
      <x:c r="U108" s="98" t="n">
        <x:v>0.5</x:v>
      </x:c>
      <x:c r="V108" s="98" t="n">
        <x:v>0.76</x:v>
      </x:c>
      <x:c r="W108" s="98" t="n">
        <x:v>0.5180124223602485</x:v>
      </x:c>
      <x:c r="X108" s="90" t="str">
        <x:v>D</x:v>
      </x:c>
      <x:c r="Y108" s="90" t="n">
        <x:v>0</x:v>
      </x:c>
      <x:c r="Z108" s="90" t="str">
        <x:v>ALSAC data science, propensity modeling, DataRobot, Python/SQL and ML research form a clear progression.</x:v>
      </x:c>
      <x:c r="AA108" s="90" t="str">
        <x:v>CPT/future-sponsorship wording must be verified; Observed roles show graduate-degree skew; No matching public role found in reviewed trackers; LinkedIn network evidence pending</x:v>
      </x:c>
      <x:c r="AB108" s="90" t="str">
        <x:v>No matching role found in reviewed public trackers; treated as missing evidence, not a negative.</x:v>
      </x:c>
      <x:c r="AC108" s="90" t="str"/>
      <x:c r="AD108" s="90" t="str">
        <x:v>Sep-Dec 2026</x:v>
      </x:c>
      <x:c r="AE108" s="90" t="str">
        <x:v>https://jobs.dell.com/en/students</x:v>
      </x:c>
    </x:row>
    <x:row r="109" ht="54" customHeight="1">
      <x:c r="A109" s="90" t="n">
        <x:v>105</x:v>
      </x:c>
      <x:c r="B109" s="90" t="str">
        <x:v>HP</x:v>
      </x:c>
      <x:c r="C109" s="90" t="str">
        <x:v>Stretch</x:v>
      </x:c>
      <x:c r="D109" s="90" t="n">
        <x:v>100</x:v>
      </x:c>
      <x:c r="E109" s="90" t="n">
        <x:v>35</x:v>
      </x:c>
      <x:c r="F109" s="90" t="n">
        <x:v>143</x:v>
      </x:c>
      <x:c r="G109" s="98" t="n">
        <x:v>0.04596666666666667</x:v>
      </x:c>
      <x:c r="H109" s="98" t="n">
        <x:v>0.12373333333333333</x:v>
      </x:c>
      <x:c r="I109" s="98" t="n">
        <x:v>0.3545</x:v>
      </x:c>
      <x:c r="J109" s="90" t="str">
        <x:v>Low</x:v>
      </x:c>
      <x:c r="K109" s="90" t="str">
        <x:v>Big Tech</x:v>
      </x:c>
      <x:c r="L109" s="90" t="str">
        <x:v>Data Science Intern</x:v>
      </x:c>
      <x:c r="M109" s="90" t="str">
        <x:v>Data Science</x:v>
      </x:c>
      <x:c r="N109" s="98" t="n">
        <x:v>0.62</x:v>
      </x:c>
      <x:c r="O109" s="90" t="str">
        <x:v>Role-specific; verify future-sponsorship wording</x:v>
      </x:c>
      <x:c r="P109" s="98" t="n">
        <x:v>0.8667079075710682</x:v>
      </x:c>
      <x:c r="Q109" s="98" t="n">
        <x:v>0.7647193838071218</x:v>
      </x:c>
      <x:c r="R109" s="98" t="n">
        <x:v>0.545</x:v>
      </x:c>
      <x:c r="S109" s="98" t="n">
        <x:v>0.5</x:v>
      </x:c>
      <x:c r="T109" s="98" t="n">
        <x:v>0.88</x:v>
      </x:c>
      <x:c r="U109" s="98" t="n">
        <x:v>0.5</x:v>
      </x:c>
      <x:c r="V109" s="98" t="n">
        <x:v>0.76</x:v>
      </x:c>
      <x:c r="W109" s="98" t="n">
        <x:v>0.5130434782608695</x:v>
      </x:c>
      <x:c r="X109" s="90" t="str">
        <x:v>D</x:v>
      </x:c>
      <x:c r="Y109" s="90" t="n">
        <x:v>0</x:v>
      </x:c>
      <x:c r="Z109" s="90" t="str">
        <x:v>ALSAC data science, propensity modeling, DataRobot, Python/SQL and ML research form a clear progression.</x:v>
      </x:c>
      <x:c r="AA109" s="90" t="str">
        <x:v>CPT/future-sponsorship wording must be verified; Observed roles show graduate-degree skew; No matching public role found in reviewed trackers; LinkedIn network evidence pending</x:v>
      </x:c>
      <x:c r="AB109" s="90" t="str">
        <x:v>No matching role found in reviewed public trackers; treated as missing evidence, not a negative.</x:v>
      </x:c>
      <x:c r="AC109" s="90" t="str"/>
      <x:c r="AD109" s="90" t="str">
        <x:v>Oct-Dec 2026</x:v>
      </x:c>
      <x:c r="AE109" s="90" t="str">
        <x:v>https://jobs.hp.com/students/</x:v>
      </x:c>
    </x:row>
    <x:row r="110" ht="54" customHeight="1">
      <x:c r="A110" s="90" t="n">
        <x:v>106</x:v>
      </x:c>
      <x:c r="B110" s="90" t="str">
        <x:v>Shopify</x:v>
      </x:c>
      <x:c r="C110" s="90" t="str">
        <x:v>Stretch</x:v>
      </x:c>
      <x:c r="D110" s="90" t="n">
        <x:v>100</x:v>
      </x:c>
      <x:c r="E110" s="90" t="n">
        <x:v>34</x:v>
      </x:c>
      <x:c r="F110" s="90" t="n">
        <x:v>143</x:v>
      </x:c>
      <x:c r="G110" s="98" t="n">
        <x:v>0.04571666666666667</x:v>
      </x:c>
      <x:c r="H110" s="98" t="n">
        <x:v>0.12615</x:v>
      </x:c>
      <x:c r="I110" s="98" t="n">
        <x:v>0.35396666666666665</x:v>
      </x:c>
      <x:c r="J110" s="90" t="str">
        <x:v>Low</x:v>
      </x:c>
      <x:c r="K110" s="90" t="str">
        <x:v>Big Tech</x:v>
      </x:c>
      <x:c r="L110" s="90" t="str">
        <x:v>Data Science Intern</x:v>
      </x:c>
      <x:c r="M110" s="90" t="str">
        <x:v>Data Science</x:v>
      </x:c>
      <x:c r="N110" s="98" t="n">
        <x:v>0.62</x:v>
      </x:c>
      <x:c r="O110" s="90" t="str">
        <x:v>Role-specific; verify future-sponsorship wording</x:v>
      </x:c>
      <x:c r="P110" s="98" t="n">
        <x:v>0.8667079075710682</x:v>
      </x:c>
      <x:c r="Q110" s="98" t="n">
        <x:v>0.7647193838071218</x:v>
      </x:c>
      <x:c r="R110" s="98" t="n">
        <x:v>0.545</x:v>
      </x:c>
      <x:c r="S110" s="98" t="n">
        <x:v>0.5</x:v>
      </x:c>
      <x:c r="T110" s="98" t="n">
        <x:v>0.88</x:v>
      </x:c>
      <x:c r="U110" s="98" t="n">
        <x:v>0.5</x:v>
      </x:c>
      <x:c r="V110" s="98" t="n">
        <x:v>0.76</x:v>
      </x:c>
      <x:c r="W110" s="98" t="n">
        <x:v>0.5080745341614906</x:v>
      </x:c>
      <x:c r="X110" s="90" t="str">
        <x:v>D</x:v>
      </x:c>
      <x:c r="Y110" s="90" t="n">
        <x:v>0</x:v>
      </x:c>
      <x:c r="Z110" s="90" t="str">
        <x:v>ALSAC data science, propensity modeling, DataRobot, Python/SQL and ML research form a clear progression.</x:v>
      </x:c>
      <x:c r="AA110" s="90" t="str">
        <x:v>CPT/future-sponsorship wording must be verified; Observed roles show graduate-degree skew; No matching public role found in reviewed trackers; LinkedIn network evidence pending</x:v>
      </x:c>
      <x:c r="AB110" s="90" t="str">
        <x:v>No matching role found in reviewed public trackers; treated as missing evidence, not a negative.</x:v>
      </x:c>
      <x:c r="AC110" s="90" t="str"/>
      <x:c r="AD110" s="90" t="str">
        <x:v>Varies</x:v>
      </x:c>
      <x:c r="AE110" s="90" t="str">
        <x:v>https://www.shopify.com/careers/early-careers</x:v>
      </x:c>
    </x:row>
    <x:row r="111" ht="54" customHeight="1">
      <x:c r="A111" s="90" t="n">
        <x:v>107</x:v>
      </x:c>
      <x:c r="B111" s="90" t="str">
        <x:v>Tesla</x:v>
      </x:c>
      <x:c r="C111" s="90" t="str">
        <x:v>Stretch</x:v>
      </x:c>
      <x:c r="D111" s="90" t="n">
        <x:v>101</x:v>
      </x:c>
      <x:c r="E111" s="90" t="n">
        <x:v>49</x:v>
      </x:c>
      <x:c r="F111" s="90" t="n">
        <x:v>138</x:v>
      </x:c>
      <x:c r="G111" s="98" t="n">
        <x:v>0.013116666666666667</x:v>
      </x:c>
      <x:c r="H111" s="98" t="n">
        <x:v>0.0619</x:v>
      </x:c>
      <x:c r="I111" s="98" t="n">
        <x:v>0.30078333333333335</x:v>
      </x:c>
      <x:c r="J111" s="90" t="str">
        <x:v>Low</x:v>
      </x:c>
      <x:c r="K111" s="90" t="str">
        <x:v>Auto/Tech</x:v>
      </x:c>
      <x:c r="L111" s="90" t="str">
        <x:v>Data Science / Analytics Intern</x:v>
      </x:c>
      <x:c r="M111" s="90" t="str">
        <x:v>Data Science</x:v>
      </x:c>
      <x:c r="N111" s="98" t="n">
        <x:v>0.82</x:v>
      </x:c>
      <x:c r="O111" s="90" t="str">
        <x:v>Likely workable; verify exact posting</x:v>
      </x:c>
      <x:c r="P111" s="98" t="n">
        <x:v>0.8403995265515112</x:v>
      </x:c>
      <x:c r="Q111" s="98" t="n">
        <x:v>0.5893301770100746</x:v>
      </x:c>
      <x:c r="R111" s="98" t="n">
        <x:v>0.545</x:v>
      </x:c>
      <x:c r="S111" s="98" t="n">
        <x:v>0.5</x:v>
      </x:c>
      <x:c r="T111" s="98" t="n">
        <x:v>0.28</x:v>
      </x:c>
      <x:c r="U111" s="98" t="n">
        <x:v>0.5</x:v>
      </x:c>
      <x:c r="V111" s="98" t="n">
        <x:v>0.76</x:v>
      </x:c>
      <x:c r="W111" s="98" t="n">
        <x:v>0.6372670807453416</x:v>
      </x:c>
      <x:c r="X111" s="90" t="str">
        <x:v>D</x:v>
      </x:c>
      <x:c r="Y111" s="90" t="n">
        <x:v>0</x:v>
      </x:c>
      <x:c r="Z111" s="90" t="str">
        <x:v>ALSAC data science, propensity modeling, DataRobot, Python/SQL and ML research form a clear progression.</x:v>
      </x:c>
      <x:c r="AA111" s="90" t="str">
        <x:v>Exact posting still controls CPT eligibility; Observed roles show graduate-degree skew; Low personal industry preference; No matching public role found in reviewed trackers; LinkedIn network evidence pending</x:v>
      </x:c>
      <x:c r="AB111" s="90" t="str">
        <x:v>No matching role found in reviewed public trackers; treated as missing evidence, not a negative.</x:v>
      </x:c>
      <x:c r="AC111" s="90" t="str"/>
      <x:c r="AD111" s="90" t="str">
        <x:v>Rolling year-round - check monthly.</x:v>
      </x:c>
      <x:c r="AE111" s="90" t="str">
        <x:v>https://www.tesla.com/careers/search/?type=3</x:v>
      </x:c>
    </x:row>
    <x:row r="112" ht="54" customHeight="1">
      <x:c r="A112" s="90" t="n">
        <x:v>108</x:v>
      </x:c>
      <x:c r="B112" s="90" t="str">
        <x:v>Electronic Arts</x:v>
      </x:c>
      <x:c r="C112" s="90" t="str">
        <x:v>Stretch</x:v>
      </x:c>
      <x:c r="D112" s="90" t="n">
        <x:v>101</x:v>
      </x:c>
      <x:c r="E112" s="90" t="n">
        <x:v>35</x:v>
      </x:c>
      <x:c r="F112" s="90" t="n">
        <x:v>143</x:v>
      </x:c>
      <x:c r="G112" s="98" t="n">
        <x:v>0.04413333333333333</x:v>
      </x:c>
      <x:c r="H112" s="98" t="n">
        <x:v>0.12198333333333333</x:v>
      </x:c>
      <x:c r="I112" s="98" t="n">
        <x:v>0.3464</x:v>
      </x:c>
      <x:c r="J112" s="90" t="str">
        <x:v>Low</x:v>
      </x:c>
      <x:c r="K112" s="90" t="str">
        <x:v>Big Tech</x:v>
      </x:c>
      <x:c r="L112" s="90" t="str">
        <x:v>Data Science Intern</x:v>
      </x:c>
      <x:c r="M112" s="90" t="str">
        <x:v>Data Science</x:v>
      </x:c>
      <x:c r="N112" s="98" t="n">
        <x:v>0.62</x:v>
      </x:c>
      <x:c r="O112" s="90" t="str">
        <x:v>Role-specific; verify future-sponsorship wording</x:v>
      </x:c>
      <x:c r="P112" s="98" t="n">
        <x:v>0.8667079075710682</x:v>
      </x:c>
      <x:c r="Q112" s="98" t="n">
        <x:v>0.7647193838071218</x:v>
      </x:c>
      <x:c r="R112" s="98" t="n">
        <x:v>0.545</x:v>
      </x:c>
      <x:c r="S112" s="98" t="n">
        <x:v>0.5</x:v>
      </x:c>
      <x:c r="T112" s="98" t="n">
        <x:v>0.88</x:v>
      </x:c>
      <x:c r="U112" s="98" t="n">
        <x:v>0.5</x:v>
      </x:c>
      <x:c r="V112" s="98" t="n">
        <x:v>0.76</x:v>
      </x:c>
      <x:c r="W112" s="98" t="n">
        <x:v>0.49813664596273294</x:v>
      </x:c>
      <x:c r="X112" s="90" t="str">
        <x:v>D</x:v>
      </x:c>
      <x:c r="Y112" s="90" t="n">
        <x:v>0</x:v>
      </x:c>
      <x:c r="Z112" s="90" t="str">
        <x:v>ALSAC data science, propensity modeling, DataRobot, Python/SQL and ML research form a clear progression.</x:v>
      </x:c>
      <x:c r="AA112" s="90" t="str">
        <x:v>CPT/future-sponsorship wording must be verified; Observed roles show graduate-degree skew; No matching public role found in reviewed trackers; LinkedIn network evidence pending</x:v>
      </x:c>
      <x:c r="AB112" s="90" t="str">
        <x:v>No matching role found in reviewed public trackers; treated as missing evidence, not a negative.</x:v>
      </x:c>
      <x:c r="AC112" s="90" t="str"/>
      <x:c r="AD112" s="90" t="str">
        <x:v>Oct-Dec 2026</x:v>
      </x:c>
      <x:c r="AE112" s="90" t="str">
        <x:v>https://ea.gr8people.com/internships</x:v>
      </x:c>
    </x:row>
    <x:row r="113" ht="54" customHeight="1">
      <x:c r="A113" s="90" t="n">
        <x:v>109</x:v>
      </x:c>
      <x:c r="B113" s="90" t="str">
        <x:v>PepsiCo</x:v>
      </x:c>
      <x:c r="C113" s="90" t="str">
        <x:v>Stretch</x:v>
      </x:c>
      <x:c r="D113" s="90" t="n">
        <x:v>101</x:v>
      </x:c>
      <x:c r="E113" s="90" t="n">
        <x:v>37</x:v>
      </x:c>
      <x:c r="F113" s="90" t="n">
        <x:v>143</x:v>
      </x:c>
      <x:c r="G113" s="98" t="n">
        <x:v>0.038733333333333335</x:v>
      </x:c>
      <x:c r="H113" s="98" t="n">
        <x:v>0.11393333333333333</x:v>
      </x:c>
      <x:c r="I113" s="98" t="n">
        <x:v>0.34203333333333336</x:v>
      </x:c>
      <x:c r="J113" s="90" t="str">
        <x:v>Low</x:v>
      </x:c>
      <x:c r="K113" s="90" t="str">
        <x:v>Consumer</x:v>
      </x:c>
      <x:c r="L113" s="90" t="str">
        <x:v>Data Analytics Intern</x:v>
      </x:c>
      <x:c r="M113" s="90" t="str">
        <x:v>Data Analytics</x:v>
      </x:c>
      <x:c r="N113" s="98" t="n">
        <x:v>0.62</x:v>
      </x:c>
      <x:c r="O113" s="90" t="str">
        <x:v>Role-specific; verify future-sponsorship wording</x:v>
      </x:c>
      <x:c r="P113" s="98" t="n">
        <x:v>0.9367192584188541</x:v>
      </x:c>
      <x:c r="Q113" s="98" t="n">
        <x:v>0.5781283894590271</x:v>
      </x:c>
      <x:c r="R113" s="98" t="n">
        <x:v>0.644</x:v>
      </x:c>
      <x:c r="S113" s="98" t="n">
        <x:v>0.5</x:v>
      </x:c>
      <x:c r="T113" s="98" t="n">
        <x:v>0.28</x:v>
      </x:c>
      <x:c r="U113" s="98" t="n">
        <x:v>0.5</x:v>
      </x:c>
      <x:c r="V113" s="98" t="n">
        <x:v>0.76</x:v>
      </x:c>
      <x:c r="W113" s="98" t="n">
        <x:v>0.8409937888198759</x:v>
      </x:c>
      <x:c r="X113" s="90" t="str">
        <x:v>D</x:v>
      </x:c>
      <x:c r="Y113" s="90" t="n">
        <x:v>0</x:v>
      </x:c>
      <x:c r="Z113" s="90" t="str">
        <x:v>Three analytics internships plus SQL, Python, Tableau, forecasting and segmentation directly match the lane.</x:v>
      </x:c>
      <x:c r="AA113" s="90" t="str">
        <x:v>CPT/future-sponsorship wording must be verified; Low personal industry preference; No matching public role found in reviewed trackers; LinkedIn network evidence pending</x:v>
      </x:c>
      <x:c r="AB113" s="90" t="str">
        <x:v>No matching role found in reviewed public trackers; treated as missing evidence, not a negative.</x:v>
      </x:c>
      <x:c r="AC113" s="90" t="str"/>
      <x:c r="AD113" s="90" t="str">
        <x:v>Sep-Nov 2026</x:v>
      </x:c>
      <x:c r="AE113" s="90" t="str">
        <x:v>https://www.pepsicojobs.com/main/students</x:v>
      </x:c>
    </x:row>
    <x:row r="114" ht="54" customHeight="1">
      <x:c r="A114" s="90" t="n">
        <x:v>110</x:v>
      </x:c>
      <x:c r="B114" s="90" t="str">
        <x:v>Estée Lauder</x:v>
      </x:c>
      <x:c r="C114" s="90" t="str">
        <x:v>Stretch</x:v>
      </x:c>
      <x:c r="D114" s="90" t="n">
        <x:v>102</x:v>
      </x:c>
      <x:c r="E114" s="90" t="n">
        <x:v>38</x:v>
      </x:c>
      <x:c r="F114" s="90" t="n">
        <x:v>143</x:v>
      </x:c>
      <x:c r="G114" s="98" t="n">
        <x:v>0.0375</x:v>
      </x:c>
      <x:c r="H114" s="98" t="n">
        <x:v>0.10941666666666666</x:v>
      </x:c>
      <x:c r="I114" s="98" t="n">
        <x:v>0.3324</x:v>
      </x:c>
      <x:c r="J114" s="90" t="str">
        <x:v>Low</x:v>
      </x:c>
      <x:c r="K114" s="90" t="str">
        <x:v>Consumer</x:v>
      </x:c>
      <x:c r="L114" s="90" t="str">
        <x:v>Data Analytics Intern</x:v>
      </x:c>
      <x:c r="M114" s="90" t="str">
        <x:v>Data Analytics</x:v>
      </x:c>
      <x:c r="N114" s="98" t="n">
        <x:v>0.62</x:v>
      </x:c>
      <x:c r="O114" s="90" t="str">
        <x:v>Role-specific; verify future-sponsorship wording</x:v>
      </x:c>
      <x:c r="P114" s="98" t="n">
        <x:v>0.9367192584188541</x:v>
      </x:c>
      <x:c r="Q114" s="98" t="n">
        <x:v>0.5781283894590271</x:v>
      </x:c>
      <x:c r="R114" s="98" t="n">
        <x:v>0.644</x:v>
      </x:c>
      <x:c r="S114" s="98" t="n">
        <x:v>0.5</x:v>
      </x:c>
      <x:c r="T114" s="98" t="n">
        <x:v>0.28</x:v>
      </x:c>
      <x:c r="U114" s="98" t="n">
        <x:v>0.5</x:v>
      </x:c>
      <x:c r="V114" s="98" t="n">
        <x:v>0.76</x:v>
      </x:c>
      <x:c r="W114" s="98" t="n">
        <x:v>0.8211180124223603</x:v>
      </x:c>
      <x:c r="X114" s="90" t="str">
        <x:v>D</x:v>
      </x:c>
      <x:c r="Y114" s="90" t="n">
        <x:v>0</x:v>
      </x:c>
      <x:c r="Z114" s="90" t="str">
        <x:v>Three analytics internships plus SQL, Python, Tableau, forecasting and segmentation directly match the lane.</x:v>
      </x:c>
      <x:c r="AA114" s="90" t="str">
        <x:v>CPT/future-sponsorship wording must be verified; Low personal industry preference; No matching public role found in reviewed trackers; LinkedIn network evidence pending</x:v>
      </x:c>
      <x:c r="AB114" s="90" t="str">
        <x:v>No matching role found in reviewed public trackers; treated as missing evidence, not a negative.</x:v>
      </x:c>
      <x:c r="AC114" s="90" t="str"/>
      <x:c r="AD114" s="90" t="str">
        <x:v>Oct-Dec 2026</x:v>
      </x:c>
      <x:c r="AE114" s="90" t="str">
        <x:v>https://www.elcompanies.com/en/careers/students-and-graduates</x:v>
      </x:c>
    </x:row>
    <x:row r="115" ht="54" customHeight="1">
      <x:c r="A115" s="90" t="n">
        <x:v>111</x:v>
      </x:c>
      <x:c r="B115" s="90" t="str">
        <x:v>L'Oréal</x:v>
      </x:c>
      <x:c r="C115" s="90" t="str">
        <x:v>Stretch</x:v>
      </x:c>
      <x:c r="D115" s="90" t="n">
        <x:v>102</x:v>
      </x:c>
      <x:c r="E115" s="90" t="n">
        <x:v>38</x:v>
      </x:c>
      <x:c r="F115" s="90" t="n">
        <x:v>143</x:v>
      </x:c>
      <x:c r="G115" s="98" t="n">
        <x:v>0.03758333333333334</x:v>
      </x:c>
      <x:c r="H115" s="98" t="n">
        <x:v>0.11125</x:v>
      </x:c>
      <x:c r="I115" s="98" t="n">
        <x:v>0.3372833333333333</x:v>
      </x:c>
      <x:c r="J115" s="90" t="str">
        <x:v>Low</x:v>
      </x:c>
      <x:c r="K115" s="90" t="str">
        <x:v>Consumer</x:v>
      </x:c>
      <x:c r="L115" s="90" t="str">
        <x:v>Data &amp; Analytics Intern</x:v>
      </x:c>
      <x:c r="M115" s="90" t="str">
        <x:v>Data Analytics</x:v>
      </x:c>
      <x:c r="N115" s="98" t="n">
        <x:v>0.62</x:v>
      </x:c>
      <x:c r="O115" s="90" t="str">
        <x:v>Role-specific; verify future-sponsorship wording</x:v>
      </x:c>
      <x:c r="P115" s="98" t="n">
        <x:v>0.9367192584188541</x:v>
      </x:c>
      <x:c r="Q115" s="98" t="n">
        <x:v>0.5781283894590271</x:v>
      </x:c>
      <x:c r="R115" s="98" t="n">
        <x:v>0.644</x:v>
      </x:c>
      <x:c r="S115" s="98" t="n">
        <x:v>0.5</x:v>
      </x:c>
      <x:c r="T115" s="98" t="n">
        <x:v>0.28</x:v>
      </x:c>
      <x:c r="U115" s="98" t="n">
        <x:v>0.5</x:v>
      </x:c>
      <x:c r="V115" s="98" t="n">
        <x:v>0.76</x:v>
      </x:c>
      <x:c r="W115" s="98" t="n">
        <x:v>0.8161490683229815</x:v>
      </x:c>
      <x:c r="X115" s="90" t="str">
        <x:v>D</x:v>
      </x:c>
      <x:c r="Y115" s="90" t="n">
        <x:v>0</x:v>
      </x:c>
      <x:c r="Z115" s="90" t="str">
        <x:v>Three analytics internships plus SQL, Python, Tableau, forecasting and segmentation directly match the lane.</x:v>
      </x:c>
      <x:c r="AA115" s="90" t="str">
        <x:v>CPT/future-sponsorship wording must be verified; Low personal industry preference; No matching public role found in reviewed trackers; LinkedIn network evidence pending</x:v>
      </x:c>
      <x:c r="AB115" s="90" t="str">
        <x:v>No matching role found in reviewed public trackers; treated as missing evidence, not a negative.</x:v>
      </x:c>
      <x:c r="AC115" s="90" t="str"/>
      <x:c r="AD115" s="90" t="str">
        <x:v>Sep-Nov 2026</x:v>
      </x:c>
      <x:c r="AE115" s="90" t="str">
        <x:v>https://careers.loreal.com/en_US/students</x:v>
      </x:c>
    </x:row>
    <x:row r="116" ht="54" customHeight="1">
      <x:c r="A116" s="90" t="n">
        <x:v>112</x:v>
      </x:c>
      <x:c r="B116" s="90" t="str">
        <x:v>Nestlé</x:v>
      </x:c>
      <x:c r="C116" s="90" t="str">
        <x:v>Stretch</x:v>
      </x:c>
      <x:c r="D116" s="90" t="n">
        <x:v>102</x:v>
      </x:c>
      <x:c r="E116" s="90" t="n">
        <x:v>38</x:v>
      </x:c>
      <x:c r="F116" s="90" t="n">
        <x:v>143</x:v>
      </x:c>
      <x:c r="G116" s="98" t="n">
        <x:v>0.03871666666666667</x:v>
      </x:c>
      <x:c r="H116" s="98" t="n">
        <x:v>0.11108333333333334</x:v>
      </x:c>
      <x:c r="I116" s="98" t="n">
        <x:v>0.3367833333333333</x:v>
      </x:c>
      <x:c r="J116" s="90" t="str">
        <x:v>Low</x:v>
      </x:c>
      <x:c r="K116" s="90" t="str">
        <x:v>Consumer</x:v>
      </x:c>
      <x:c r="L116" s="90" t="str">
        <x:v>Data Analytics Intern</x:v>
      </x:c>
      <x:c r="M116" s="90" t="str">
        <x:v>Data Analytics</x:v>
      </x:c>
      <x:c r="N116" s="98" t="n">
        <x:v>0.62</x:v>
      </x:c>
      <x:c r="O116" s="90" t="str">
        <x:v>Role-specific; verify future-sponsorship wording</x:v>
      </x:c>
      <x:c r="P116" s="98" t="n">
        <x:v>0.9367192584188541</x:v>
      </x:c>
      <x:c r="Q116" s="98" t="n">
        <x:v>0.5781283894590271</x:v>
      </x:c>
      <x:c r="R116" s="98" t="n">
        <x:v>0.644</x:v>
      </x:c>
      <x:c r="S116" s="98" t="n">
        <x:v>0.5</x:v>
      </x:c>
      <x:c r="T116" s="98" t="n">
        <x:v>0.28</x:v>
      </x:c>
      <x:c r="U116" s="98" t="n">
        <x:v>0.5</x:v>
      </x:c>
      <x:c r="V116" s="98" t="n">
        <x:v>0.76</x:v>
      </x:c>
      <x:c r="W116" s="98" t="n">
        <x:v>0.831055900621118</x:v>
      </x:c>
      <x:c r="X116" s="90" t="str">
        <x:v>D</x:v>
      </x:c>
      <x:c r="Y116" s="90" t="n">
        <x:v>0</x:v>
      </x:c>
      <x:c r="Z116" s="90" t="str">
        <x:v>Three analytics internships plus SQL, Python, Tableau, forecasting and segmentation directly match the lane.</x:v>
      </x:c>
      <x:c r="AA116" s="90" t="str">
        <x:v>CPT/future-sponsorship wording must be verified; Low personal industry preference; No matching public role found in reviewed trackers; LinkedIn network evidence pending</x:v>
      </x:c>
      <x:c r="AB116" s="90" t="str">
        <x:v>No matching role found in reviewed public trackers; treated as missing evidence, not a negative.</x:v>
      </x:c>
      <x:c r="AC116" s="90" t="str"/>
      <x:c r="AD116" s="90" t="str">
        <x:v>Oct-Dec 2026</x:v>
      </x:c>
      <x:c r="AE116" s="90" t="str">
        <x:v>https://www.nestlejobs.com/students</x:v>
      </x:c>
    </x:row>
    <x:row r="117" ht="54" customHeight="1">
      <x:c r="A117" s="90" t="n">
        <x:v>113</x:v>
      </x:c>
      <x:c r="B117" s="90" t="str">
        <x:v>Twilio</x:v>
      </x:c>
      <x:c r="C117" s="90" t="str">
        <x:v>Stretch</x:v>
      </x:c>
      <x:c r="D117" s="90" t="n">
        <x:v>102</x:v>
      </x:c>
      <x:c r="E117" s="90" t="n">
        <x:v>36</x:v>
      </x:c>
      <x:c r="F117" s="90" t="n">
        <x:v>143</x:v>
      </x:c>
      <x:c r="G117" s="98" t="n">
        <x:v>0.042866666666666664</x:v>
      </x:c>
      <x:c r="H117" s="98" t="n">
        <x:v>0.1173</x:v>
      </x:c>
      <x:c r="I117" s="98" t="n">
        <x:v>0.3384</x:v>
      </x:c>
      <x:c r="J117" s="90" t="str">
        <x:v>Low</x:v>
      </x:c>
      <x:c r="K117" s="90" t="str">
        <x:v>Big Tech</x:v>
      </x:c>
      <x:c r="L117" s="90" t="str">
        <x:v>Data Science Intern</x:v>
      </x:c>
      <x:c r="M117" s="90" t="str">
        <x:v>Data Science</x:v>
      </x:c>
      <x:c r="N117" s="98" t="n">
        <x:v>0.62</x:v>
      </x:c>
      <x:c r="O117" s="90" t="str">
        <x:v>Role-specific; verify future-sponsorship wording</x:v>
      </x:c>
      <x:c r="P117" s="98" t="n">
        <x:v>0.8667079075710682</x:v>
      </x:c>
      <x:c r="Q117" s="98" t="n">
        <x:v>0.7647193838071218</x:v>
      </x:c>
      <x:c r="R117" s="98" t="n">
        <x:v>0.545</x:v>
      </x:c>
      <x:c r="S117" s="98" t="n">
        <x:v>0.5</x:v>
      </x:c>
      <x:c r="T117" s="98" t="n">
        <x:v>0.88</x:v>
      </x:c>
      <x:c r="U117" s="98" t="n">
        <x:v>0.5</x:v>
      </x:c>
      <x:c r="V117" s="98" t="n">
        <x:v>0.76</x:v>
      </x:c>
      <x:c r="W117" s="98" t="n">
        <x:v>0.4832298136645963</x:v>
      </x:c>
      <x:c r="X117" s="90" t="str">
        <x:v>D</x:v>
      </x:c>
      <x:c r="Y117" s="90" t="n">
        <x:v>0</x:v>
      </x:c>
      <x:c r="Z117" s="90" t="str">
        <x:v>ALSAC data science, propensity modeling, DataRobot, Python/SQL and ML research form a clear progression.</x:v>
      </x:c>
      <x:c r="AA117" s="90" t="str">
        <x:v>CPT/future-sponsorship wording must be verified; Observed roles show graduate-degree skew; No matching public role found in reviewed trackers; LinkedIn network evidence pending</x:v>
      </x:c>
      <x:c r="AB117" s="90" t="str">
        <x:v>No matching role found in reviewed public trackers; treated as missing evidence, not a negative.</x:v>
      </x:c>
      <x:c r="AC117" s="90" t="str"/>
      <x:c r="AD117" s="90" t="str">
        <x:v>Oct-Dec 2026</x:v>
      </x:c>
      <x:c r="AE117" s="90" t="str">
        <x:v>https://www.twilio.com/en-us/company/jobs</x:v>
      </x:c>
    </x:row>
    <x:row r="118" ht="54" customHeight="1">
      <x:c r="A118" s="90" t="n">
        <x:v>114</x:v>
      </x:c>
      <x:c r="B118" s="90" t="str">
        <x:v>VMware (Broadcom)</x:v>
      </x:c>
      <x:c r="C118" s="90" t="str">
        <x:v>Stretch</x:v>
      </x:c>
      <x:c r="D118" s="90" t="n">
        <x:v>102</x:v>
      </x:c>
      <x:c r="E118" s="90" t="n">
        <x:v>36</x:v>
      </x:c>
      <x:c r="F118" s="90" t="n">
        <x:v>143</x:v>
      </x:c>
      <x:c r="G118" s="98" t="n">
        <x:v>0.04303333333333333</x:v>
      </x:c>
      <x:c r="H118" s="98" t="n">
        <x:v>0.11943333333333334</x:v>
      </x:c>
      <x:c r="I118" s="98" t="n">
        <x:v>0.34115</x:v>
      </x:c>
      <x:c r="J118" s="90" t="str">
        <x:v>Low</x:v>
      </x:c>
      <x:c r="K118" s="90" t="str">
        <x:v>Big Tech</x:v>
      </x:c>
      <x:c r="L118" s="90" t="str">
        <x:v>Data Science Intern</x:v>
      </x:c>
      <x:c r="M118" s="90" t="str">
        <x:v>Data Science</x:v>
      </x:c>
      <x:c r="N118" s="98" t="n">
        <x:v>0.62</x:v>
      </x:c>
      <x:c r="O118" s="90" t="str">
        <x:v>Role-specific; verify future-sponsorship wording</x:v>
      </x:c>
      <x:c r="P118" s="98" t="n">
        <x:v>0.8667079075710682</x:v>
      </x:c>
      <x:c r="Q118" s="98" t="n">
        <x:v>0.7647193838071218</x:v>
      </x:c>
      <x:c r="R118" s="98" t="n">
        <x:v>0.545</x:v>
      </x:c>
      <x:c r="S118" s="98" t="n">
        <x:v>0.5</x:v>
      </x:c>
      <x:c r="T118" s="98" t="n">
        <x:v>0.88</x:v>
      </x:c>
      <x:c r="U118" s="98" t="n">
        <x:v>0.5</x:v>
      </x:c>
      <x:c r="V118" s="98" t="n">
        <x:v>0.76</x:v>
      </x:c>
      <x:c r="W118" s="98" t="n">
        <x:v>0.48819875776397514</x:v>
      </x:c>
      <x:c r="X118" s="90" t="str">
        <x:v>D</x:v>
      </x:c>
      <x:c r="Y118" s="90" t="n">
        <x:v>0</x:v>
      </x:c>
      <x:c r="Z118" s="90" t="str">
        <x:v>ALSAC data science, propensity modeling, DataRobot, Python/SQL and ML research form a clear progression.</x:v>
      </x:c>
      <x:c r="AA118" s="90" t="str">
        <x:v>CPT/future-sponsorship wording must be verified; Observed roles show graduate-degree skew; No matching public role found in reviewed trackers; LinkedIn network evidence pending</x:v>
      </x:c>
      <x:c r="AB118" s="90" t="str">
        <x:v>No matching role found in reviewed public trackers; treated as missing evidence, not a negative.</x:v>
      </x:c>
      <x:c r="AC118" s="90" t="str"/>
      <x:c r="AD118" s="90" t="str">
        <x:v>Oct-Dec 2026</x:v>
      </x:c>
      <x:c r="AE118" s="90" t="str">
        <x:v>https://broadcom.wd1.myworkdayjobs.com/External_Career</x:v>
      </x:c>
    </x:row>
    <x:row r="119" ht="54" customHeight="1">
      <x:c r="A119" s="90" t="n">
        <x:v>115</x:v>
      </x:c>
      <x:c r="B119" s="90" t="str">
        <x:v>Grammarly</x:v>
      </x:c>
      <x:c r="C119" s="90" t="str">
        <x:v>Stretch</x:v>
      </x:c>
      <x:c r="D119" s="90" t="n">
        <x:v>102</x:v>
      </x:c>
      <x:c r="E119" s="90" t="n">
        <x:v>37</x:v>
      </x:c>
      <x:c r="F119" s="90" t="n">
        <x:v>144</x:v>
      </x:c>
      <x:c r="G119" s="98" t="n">
        <x:v>0.041433333333333336</x:v>
      </x:c>
      <x:c r="H119" s="98" t="n">
        <x:v>0.11343333333333333</x:v>
      </x:c>
      <x:c r="I119" s="98" t="n">
        <x:v>0.33498333333333336</x:v>
      </x:c>
      <x:c r="J119" s="90" t="str">
        <x:v>Low</x:v>
      </x:c>
      <x:c r="K119" s="90" t="str">
        <x:v>Big Tech</x:v>
      </x:c>
      <x:c r="L119" s="90" t="str">
        <x:v>Data Science Intern</x:v>
      </x:c>
      <x:c r="M119" s="90" t="str">
        <x:v>Data Science</x:v>
      </x:c>
      <x:c r="N119" s="98" t="n">
        <x:v>0.62</x:v>
      </x:c>
      <x:c r="O119" s="90" t="str">
        <x:v>Role-specific; verify future-sponsorship wording</x:v>
      </x:c>
      <x:c r="P119" s="98" t="n">
        <x:v>0.8667079075710682</x:v>
      </x:c>
      <x:c r="Q119" s="98" t="n">
        <x:v>0.7647193838071218</x:v>
      </x:c>
      <x:c r="R119" s="98" t="n">
        <x:v>0.545</x:v>
      </x:c>
      <x:c r="S119" s="98" t="n">
        <x:v>0.5</x:v>
      </x:c>
      <x:c r="T119" s="98" t="n">
        <x:v>0.88</x:v>
      </x:c>
      <x:c r="U119" s="98" t="n">
        <x:v>0.5</x:v>
      </x:c>
      <x:c r="V119" s="98" t="n">
        <x:v>0.76</x:v>
      </x:c>
      <x:c r="W119" s="98" t="n">
        <x:v>0.4782608695652174</x:v>
      </x:c>
      <x:c r="X119" s="90" t="str">
        <x:v>D</x:v>
      </x:c>
      <x:c r="Y119" s="90" t="n">
        <x:v>0</x:v>
      </x:c>
      <x:c r="Z119" s="90" t="str">
        <x:v>ALSAC data science, propensity modeling, DataRobot, Python/SQL and ML research form a clear progression.</x:v>
      </x:c>
      <x:c r="AA119" s="90" t="str">
        <x:v>CPT/future-sponsorship wording must be verified; Observed roles show graduate-degree skew; No matching public role found in reviewed trackers; LinkedIn network evidence pending</x:v>
      </x:c>
      <x:c r="AB119" s="90" t="str">
        <x:v>No matching role found in reviewed public trackers; treated as missing evidence, not a negative.</x:v>
      </x:c>
      <x:c r="AC119" s="90" t="str"/>
      <x:c r="AD119" s="90" t="str">
        <x:v>Oct-Jan 2027</x:v>
      </x:c>
      <x:c r="AE119" s="90" t="str">
        <x:v>https://www.grammarly.com/jobs</x:v>
      </x:c>
    </x:row>
    <x:row r="120" ht="54" customHeight="1">
      <x:c r="A120" s="90" t="n">
        <x:v>116</x:v>
      </x:c>
      <x:c r="B120" s="90" t="str">
        <x:v>Colgate-Palmolive</x:v>
      </x:c>
      <x:c r="C120" s="90" t="str">
        <x:v>Stretch</x:v>
      </x:c>
      <x:c r="D120" s="90" t="n">
        <x:v>103</x:v>
      </x:c>
      <x:c r="E120" s="90" t="n">
        <x:v>39</x:v>
      </x:c>
      <x:c r="F120" s="90" t="n">
        <x:v>143</x:v>
      </x:c>
      <x:c r="G120" s="98" t="n">
        <x:v>0.035883333333333337</x:v>
      </x:c>
      <x:c r="H120" s="98" t="n">
        <x:v>0.10551666666666666</x:v>
      </x:c>
      <x:c r="I120" s="98" t="n">
        <x:v>0.32815</x:v>
      </x:c>
      <x:c r="J120" s="90" t="str">
        <x:v>Low</x:v>
      </x:c>
      <x:c r="K120" s="90" t="str">
        <x:v>Consumer</x:v>
      </x:c>
      <x:c r="L120" s="90" t="str">
        <x:v>Data Analytics Intern</x:v>
      </x:c>
      <x:c r="M120" s="90" t="str">
        <x:v>Data Analytics</x:v>
      </x:c>
      <x:c r="N120" s="98" t="n">
        <x:v>0.62</x:v>
      </x:c>
      <x:c r="O120" s="90" t="str">
        <x:v>Role-specific; verify future-sponsorship wording</x:v>
      </x:c>
      <x:c r="P120" s="98" t="n">
        <x:v>0.9367192584188541</x:v>
      </x:c>
      <x:c r="Q120" s="98" t="n">
        <x:v>0.5781283894590271</x:v>
      </x:c>
      <x:c r="R120" s="98" t="n">
        <x:v>0.644</x:v>
      </x:c>
      <x:c r="S120" s="98" t="n">
        <x:v>0.5</x:v>
      </x:c>
      <x:c r="T120" s="98" t="n">
        <x:v>0.28</x:v>
      </x:c>
      <x:c r="U120" s="98" t="n">
        <x:v>0.5</x:v>
      </x:c>
      <x:c r="V120" s="98" t="n">
        <x:v>0.76</x:v>
      </x:c>
      <x:c r="W120" s="98" t="n">
        <x:v>0.8062111801242235</x:v>
      </x:c>
      <x:c r="X120" s="90" t="str">
        <x:v>D</x:v>
      </x:c>
      <x:c r="Y120" s="90" t="n">
        <x:v>0</x:v>
      </x:c>
      <x:c r="Z120" s="90" t="str">
        <x:v>Three analytics internships plus SQL, Python, Tableau, forecasting and segmentation directly match the lane.</x:v>
      </x:c>
      <x:c r="AA120" s="90" t="str">
        <x:v>CPT/future-sponsorship wording must be verified; Low personal industry preference; No matching public role found in reviewed trackers; LinkedIn network evidence pending</x:v>
      </x:c>
      <x:c r="AB120" s="90" t="str">
        <x:v>No matching role found in reviewed public trackers; treated as missing evidence, not a negative.</x:v>
      </x:c>
      <x:c r="AC120" s="90" t="str"/>
      <x:c r="AD120" s="90" t="str">
        <x:v>Oct-Dec 2026</x:v>
      </x:c>
      <x:c r="AE120" s="90" t="str">
        <x:v>https://jobs.colgate.com/students</x:v>
      </x:c>
    </x:row>
    <x:row r="121" ht="54" customHeight="1">
      <x:c r="A121" s="90" t="n">
        <x:v>117</x:v>
      </x:c>
      <x:c r="B121" s="90" t="str">
        <x:v>CarMax</x:v>
      </x:c>
      <x:c r="C121" s="90" t="str">
        <x:v>Stretch</x:v>
      </x:c>
      <x:c r="D121" s="90" t="n">
        <x:v>105</x:v>
      </x:c>
      <x:c r="E121" s="90" t="n">
        <x:v>42</x:v>
      </x:c>
      <x:c r="F121" s="90" t="n">
        <x:v>144</x:v>
      </x:c>
      <x:c r="G121" s="98" t="n">
        <x:v>0.02765</x:v>
      </x:c>
      <x:c r="H121" s="98" t="n">
        <x:v>0.09393333333333333</x:v>
      </x:c>
      <x:c r="I121" s="98" t="n">
        <x:v>0.3075</x:v>
      </x:c>
      <x:c r="J121" s="90" t="str">
        <x:v>Low</x:v>
      </x:c>
      <x:c r="K121" s="90" t="str">
        <x:v>Retail/Tech (VA)</x:v>
      </x:c>
      <x:c r="L121" s="90" t="str">
        <x:v>Data Science Intern</x:v>
      </x:c>
      <x:c r="M121" s="90" t="str">
        <x:v>Data Science</x:v>
      </x:c>
      <x:c r="N121" s="98" t="n">
        <x:v>0.62</x:v>
      </x:c>
      <x:c r="O121" s="90" t="str">
        <x:v>Role-specific; verify future-sponsorship wording</x:v>
      </x:c>
      <x:c r="P121" s="98" t="n">
        <x:v>0.9019999999999999</x:v>
      </x:c>
      <x:c r="Q121" s="98" t="n">
        <x:v>1</x:v>
      </x:c>
      <x:c r="R121" s="98" t="n">
        <x:v>0.545</x:v>
      </x:c>
      <x:c r="S121" s="98" t="n">
        <x:v>0.5</x:v>
      </x:c>
      <x:c r="T121" s="98" t="n">
        <x:v>0.28</x:v>
      </x:c>
      <x:c r="U121" s="98" t="n">
        <x:v>0.62</x:v>
      </x:c>
      <x:c r="V121" s="98" t="n">
        <x:v>0.76</x:v>
      </x:c>
      <x:c r="W121" s="98" t="n">
        <x:v>0.9304347826086957</x:v>
      </x:c>
      <x:c r="X121" s="90" t="str">
        <x:v>D</x:v>
      </x:c>
      <x:c r="Y121" s="90" t="n">
        <x:v>0</x:v>
      </x:c>
      <x:c r="Z121" s="90" t="str">
        <x:v>ALSAC data science, propensity modeling, DataRobot, Python/SQL and ML research form a clear progression.</x:v>
      </x:c>
      <x:c r="AA121" s="90" t="str">
        <x:v>CPT/future-sponsorship wording must be verified; Observed roles show graduate-degree skew; Low personal industry preference; No matching public role found in reviewed trackers</x:v>
      </x:c>
      <x:c r="AB121" s="90" t="str">
        <x:v>No matching role found in reviewed public trackers; treated as missing evidence, not a negative.</x:v>
      </x:c>
      <x:c r="AC121" s="90" t="str"/>
      <x:c r="AD121" s="90" t="str">
        <x:v>Sep-Nov 2026</x:v>
      </x:c>
      <x:c r="AE121" s="90" t="str">
        <x:v>https://careers.carmax.com/students</x:v>
      </x:c>
    </x:row>
    <x:row r="122" ht="54" customHeight="1">
      <x:c r="A122" s="90" t="n">
        <x:v>118</x:v>
      </x:c>
      <x:c r="B122" s="90" t="str">
        <x:v>Deloitte</x:v>
      </x:c>
      <x:c r="C122" s="90" t="str">
        <x:v>Stretch</x:v>
      </x:c>
      <x:c r="D122" s="90" t="n">
        <x:v>105</x:v>
      </x:c>
      <x:c r="E122" s="90" t="n">
        <x:v>43</x:v>
      </x:c>
      <x:c r="F122" s="90" t="n">
        <x:v>144</x:v>
      </x:c>
      <x:c r="G122" s="98" t="n">
        <x:v>0.026066666666666665</x:v>
      </x:c>
      <x:c r="H122" s="98" t="n">
        <x:v>0.08996666666666667</x:v>
      </x:c>
      <x:c r="I122" s="98" t="n">
        <x:v>0.30848333333333333</x:v>
      </x:c>
      <x:c r="J122" s="90" t="str">
        <x:v>Low</x:v>
      </x:c>
      <x:c r="K122" s="90" t="str">
        <x:v>Consulting</x:v>
      </x:c>
      <x:c r="L122" s="90" t="str">
        <x:v>Discovery Intern / Business Technology Solutions</x:v>
      </x:c>
      <x:c r="M122" s="90" t="str">
        <x:v>Analytics Consulting</x:v>
      </x:c>
      <x:c r="N122" s="98" t="n">
        <x:v>0.7</x:v>
      </x:c>
      <x:c r="O122" s="90" t="str">
        <x:v>Role-specific; verify future-sponsorship wording</x:v>
      </x:c>
      <x:c r="P122" s="98" t="n">
        <x:v>0.792</x:v>
      </x:c>
      <x:c r="Q122" s="98" t="n">
        <x:v>0</x:v>
      </x:c>
      <x:c r="R122" s="98" t="n">
        <x:v>0.655706815277534</x:v>
      </x:c>
      <x:c r="S122" s="98" t="n">
        <x:v>0.75</x:v>
      </x:c>
      <x:c r="T122" s="98" t="n">
        <x:v>0.8</x:v>
      </x:c>
      <x:c r="U122" s="98" t="n">
        <x:v>0.5</x:v>
      </x:c>
      <x:c r="V122" s="98" t="n">
        <x:v>0.6799999999999999</x:v>
      </x:c>
      <x:c r="W122" s="98" t="n">
        <x:v>0.3987577639751553</x:v>
      </x:c>
      <x:c r="X122" s="90" t="str">
        <x:v>C</x:v>
      </x:c>
      <x:c r="Y122" s="90" t="n">
        <x:v>1</x:v>
      </x:c>
      <x:c r="Z122" s="90" t="str">
        <x:v>Technical analytics plus economics, research and residential leadership support client-facing analytical work.</x:v>
      </x:c>
      <x:c r="AA122" s="90" t="str">
        <x:v>CPT/future-sponsorship wording must be verified; 3.31 GPA may sit below a preferred threshold; LinkedIn network evidence pending</x:v>
      </x:c>
      <x:c r="AB122" s="90" t="str">
        <x:v>2026: Audit &amp; Assurance Intern – Data Science (undergrad_unknown, exact)</x:v>
      </x:c>
      <x:c r="AC122" s="90" t="str">
        <x:v>https://raw.githubusercontent.com/SimplifyJobs/Summer2026-Internships/refs/heads/dev/README-Inactive.md</x:v>
      </x:c>
      <x:c r="AD122" s="90" t="str">
        <x:v>Sophomore/junior programs open Jul-Sep 2026; office-by-office rolling.</x:v>
      </x:c>
      <x:c r="AE122" s="90" t="str">
        <x:v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x:v>
      </x:c>
    </x:row>
    <x:row r="123" ht="54" customHeight="1">
      <x:c r="A123" s="90" t="n">
        <x:v>119</x:v>
      </x:c>
      <x:c r="B123" s="90" t="str">
        <x:v>Discover</x:v>
      </x:c>
      <x:c r="C123" s="90" t="str">
        <x:v>Stretch</x:v>
      </x:c>
      <x:c r="D123" s="90" t="n">
        <x:v>107</x:v>
      </x:c>
      <x:c r="E123" s="90" t="n">
        <x:v>41</x:v>
      </x:c>
      <x:c r="F123" s="90" t="n">
        <x:v>145</x:v>
      </x:c>
      <x:c r="G123" s="98" t="n">
        <x:v>0.03306666666666667</x:v>
      </x:c>
      <x:c r="H123" s="98" t="n">
        <x:v>0.09631666666666666</x:v>
      </x:c>
      <x:c r="I123" s="98" t="n">
        <x:v>0.30338333333333334</x:v>
      </x:c>
      <x:c r="J123" s="90" t="str">
        <x:v>Low</x:v>
      </x:c>
      <x:c r="K123" s="90" t="str">
        <x:v>Finance/Tech</x:v>
      </x:c>
      <x:c r="L123" s="90" t="str">
        <x:v>Data Science Intern</x:v>
      </x:c>
      <x:c r="M123" s="90" t="str">
        <x:v>Data Science</x:v>
      </x:c>
      <x:c r="N123" s="98" t="n">
        <x:v>0.62</x:v>
      </x:c>
      <x:c r="O123" s="90" t="str">
        <x:v>Role-specific; verify future-sponsorship wording</x:v>
      </x:c>
      <x:c r="P123" s="98" t="n">
        <x:v>0.8632638501310361</x:v>
      </x:c>
      <x:c r="Q123" s="98" t="n">
        <x:v>0.6417590008735737</x:v>
      </x:c>
      <x:c r="R123" s="98" t="n">
        <x:v>0.545</x:v>
      </x:c>
      <x:c r="S123" s="98" t="n">
        <x:v>0.5</x:v>
      </x:c>
      <x:c r="T123" s="98" t="n">
        <x:v>0.92</x:v>
      </x:c>
      <x:c r="U123" s="98" t="n">
        <x:v>0.5</x:v>
      </x:c>
      <x:c r="V123" s="98" t="n">
        <x:v>0.76</x:v>
      </x:c>
      <x:c r="W123" s="98" t="n">
        <x:v>0.3838509316770186</x:v>
      </x:c>
      <x:c r="X123" s="90" t="str">
        <x:v>D</x:v>
      </x:c>
      <x:c r="Y123" s="90" t="n">
        <x:v>0</x:v>
      </x:c>
      <x:c r="Z123" s="90" t="str">
        <x:v>ALSAC data science, propensity modeling, DataRobot, Python/SQL and ML research form a clear progression.</x:v>
      </x:c>
      <x:c r="AA123" s="90" t="str">
        <x:v>CPT/future-sponsorship wording must be verified; Observed roles show graduate-degree skew; No matching public role found in reviewed trackers; LinkedIn network evidence pending</x:v>
      </x:c>
      <x:c r="AB123" s="90" t="str">
        <x:v>No matching role found in reviewed public trackers; treated as missing evidence, not a negative.</x:v>
      </x:c>
      <x:c r="AC123" s="90" t="str"/>
      <x:c r="AD123" s="90" t="str">
        <x:v>Sep-Nov 2026</x:v>
      </x:c>
      <x:c r="AE123" s="90" t="str">
        <x:v>https://jobs.discover.com/students/</x:v>
      </x:c>
    </x:row>
    <x:row r="124" ht="54" customHeight="1">
      <x:c r="A124" s="90" t="n">
        <x:v>120</x:v>
      </x:c>
      <x:c r="B124" s="90" t="str">
        <x:v>Disney</x:v>
      </x:c>
      <x:c r="C124" s="90" t="str">
        <x:v>Stretch</x:v>
      </x:c>
      <x:c r="D124" s="90" t="n">
        <x:v>111</x:v>
      </x:c>
      <x:c r="E124" s="90" t="n">
        <x:v>45</x:v>
      </x:c>
      <x:c r="F124" s="90" t="n">
        <x:v>146</x:v>
      </x:c>
      <x:c r="G124" s="98" t="n">
        <x:v>0.027316666666666666</x:v>
      </x:c>
      <x:c r="H124" s="98" t="n">
        <x:v>0.08273333333333334</x:v>
      </x:c>
      <x:c r="I124" s="98" t="n">
        <x:v>0.27031666666666665</x:v>
      </x:c>
      <x:c r="J124" s="90" t="str">
        <x:v>Low</x:v>
      </x:c>
      <x:c r="K124" s="90" t="str">
        <x:v>Media</x:v>
      </x:c>
      <x:c r="L124" s="90" t="str">
        <x:v>Data Science / Decision Science Intern</x:v>
      </x:c>
      <x:c r="M124" s="90" t="str">
        <x:v>Data Science</x:v>
      </x:c>
      <x:c r="N124" s="98" t="n">
        <x:v>0.62</x:v>
      </x:c>
      <x:c r="O124" s="90" t="str">
        <x:v>Role-specific; verify future-sponsorship wording</x:v>
      </x:c>
      <x:c r="P124" s="98" t="n">
        <x:v>0.8068957951380824</x:v>
      </x:c>
      <x:c r="Q124" s="98" t="n">
        <x:v>0.265971967587216</x:v>
      </x:c>
      <x:c r="R124" s="98" t="n">
        <x:v>0.545</x:v>
      </x:c>
      <x:c r="S124" s="98" t="n">
        <x:v>0.5</x:v>
      </x:c>
      <x:c r="T124" s="98" t="n">
        <x:v>0.82</x:v>
      </x:c>
      <x:c r="U124" s="98" t="n">
        <x:v>0.5</x:v>
      </x:c>
      <x:c r="V124" s="98" t="n">
        <x:v>0.76</x:v>
      </x:c>
      <x:c r="W124" s="98" t="n">
        <x:v>0.5726708074534161</x:v>
      </x:c>
      <x:c r="X124" s="90" t="str">
        <x:v>D</x:v>
      </x:c>
      <x:c r="Y124" s="90" t="n">
        <x:v>0</x:v>
      </x:c>
      <x:c r="Z124" s="90" t="str">
        <x:v>ALSAC data science, propensity modeling, DataRobot, Python/SQL and ML research form a clear progression.</x:v>
      </x:c>
      <x:c r="AA124" s="90" t="str">
        <x:v>CPT/future-sponsorship wording must be verified; Observed roles show graduate-degree skew; No matching public role found in reviewed trackers; LinkedIn network evidence pending</x:v>
      </x:c>
      <x:c r="AB124" s="90" t="str">
        <x:v>No matching role found in reviewed public trackers; treated as missing evidence, not a negative.</x:v>
      </x:c>
      <x:c r="AC124" s="90" t="str"/>
      <x:c r="AD124" s="90" t="str">
        <x:v>Sep-Nov 2026</x:v>
      </x:c>
      <x:c r="AE124" s="90" t="str">
        <x:v>https://jobs.disneycareers.com/students</x:v>
      </x:c>
    </x:row>
    <x:row r="125" ht="54" customHeight="1">
      <x:c r="A125" s="90" t="n">
        <x:v>121</x:v>
      </x:c>
      <x:c r="B125" s="90" t="str">
        <x:v>Palantir</x:v>
      </x:c>
      <x:c r="C125" s="90" t="str">
        <x:v>Stretch</x:v>
      </x:c>
      <x:c r="D125" s="90" t="n">
        <x:v>114</x:v>
      </x:c>
      <x:c r="E125" s="90" t="n">
        <x:v>52</x:v>
      </x:c>
      <x:c r="F125" s="90" t="n">
        <x:v>147</x:v>
      </x:c>
      <x:c r="G125" s="98" t="n">
        <x:v>0.017683333333333332</x:v>
      </x:c>
      <x:c r="H125" s="98" t="n">
        <x:v>0.062283333333333336</x:v>
      </x:c>
      <x:c r="I125" s="98" t="n">
        <x:v>0.23413333333333333</x:v>
      </x:c>
      <x:c r="J125" s="90" t="str">
        <x:v>Low</x:v>
      </x:c>
      <x:c r="K125" s="90" t="str">
        <x:v>Big Tech</x:v>
      </x:c>
      <x:c r="L125" s="90" t="str">
        <x:v>Data Analyst / Deployment Strategist Intern</x:v>
      </x:c>
      <x:c r="M125" s="90" t="str">
        <x:v>Data Analytics</x:v>
      </x:c>
      <x:c r="N125" s="98" t="n">
        <x:v>0.62</x:v>
      </x:c>
      <x:c r="O125" s="90" t="str">
        <x:v>Role-specific; verify future-sponsorship wording</x:v>
      </x:c>
      <x:c r="P125" s="98" t="n">
        <x:v>0.85</x:v>
      </x:c>
      <x:c r="Q125" s="98" t="n">
        <x:v>0</x:v>
      </x:c>
      <x:c r="R125" s="98" t="n">
        <x:v>0.6366632657377875</x:v>
      </x:c>
      <x:c r="S125" s="98" t="n">
        <x:v>0.75</x:v>
      </x:c>
      <x:c r="T125" s="98" t="n">
        <x:v>0.88</x:v>
      </x:c>
      <x:c r="U125" s="98" t="n">
        <x:v>0.5</x:v>
      </x:c>
      <x:c r="V125" s="98" t="n">
        <x:v>0.76</x:v>
      </x:c>
      <x:c r="W125" s="98" t="n">
        <x:v>0.21987577639751557</x:v>
      </x:c>
      <x:c r="X125" s="90" t="str">
        <x:v>C</x:v>
      </x:c>
      <x:c r="Y125" s="90" t="n">
        <x:v>1</x:v>
      </x:c>
      <x:c r="Z125" s="90" t="str">
        <x:v>Three analytics internships plus SQL, Python, Tableau, forecasting and segmentation directly match the lane.</x:v>
      </x:c>
      <x:c r="AA125" s="90" t="str">
        <x:v>CPT/future-sponsorship wording must be verified; LinkedIn network evidence pending</x:v>
      </x:c>
      <x:c r="AB125" s="90" t="str">
        <x:v>2025: Deployment Strategist Internship (undergrad_unknown, adjacent)</x:v>
      </x:c>
      <x:c r="AC125" s="90" t="str">
        <x:v>https://raw.githubusercontent.com/SimplifyJobs/Summer2026-Internships/refs/heads/dev/archived/README-2025.md</x:v>
      </x:c>
      <x:c r="AD125" s="90" t="str">
        <x:v>Aug-Oct 2026</x:v>
      </x:c>
      <x:c r="AE125" s="90" t="str">
        <x:v>https://www.palantir.com/careers/students/</x:v>
      </x:c>
    </x:row>
    <x:row r="126" ht="54" customHeight="1">
      <x:c r="A126" s="90" t="n">
        <x:v>122</x:v>
      </x:c>
      <x:c r="B126" s="90" t="str">
        <x:v>Domino's</x:v>
      </x:c>
      <x:c r="C126" s="90" t="str">
        <x:v>Stretch</x:v>
      </x:c>
      <x:c r="D126" s="90" t="n">
        <x:v>115</x:v>
      </x:c>
      <x:c r="E126" s="90" t="n">
        <x:v>53</x:v>
      </x:c>
      <x:c r="F126" s="90" t="n">
        <x:v>148</x:v>
      </x:c>
      <x:c r="G126" s="98" t="n">
        <x:v>0.016683333333333335</x:v>
      </x:c>
      <x:c r="H126" s="98" t="n">
        <x:v>0.060783333333333335</x:v>
      </x:c>
      <x:c r="I126" s="98" t="n">
        <x:v>0.23295</x:v>
      </x:c>
      <x:c r="J126" s="90" t="str">
        <x:v>Low</x:v>
      </x:c>
      <x:c r="K126" s="90" t="str">
        <x:v>Consumer/Tech</x:v>
      </x:c>
      <x:c r="L126" s="90" t="str">
        <x:v>Data Science / Analytics Intern</x:v>
      </x:c>
      <x:c r="M126" s="90" t="str">
        <x:v>Data Science</x:v>
      </x:c>
      <x:c r="N126" s="98" t="n">
        <x:v>0.62</x:v>
      </x:c>
      <x:c r="O126" s="90" t="str">
        <x:v>Role-specific; verify future-sponsorship wording</x:v>
      </x:c>
      <x:c r="P126" s="98" t="n">
        <x:v>0.8643893874657258</x:v>
      </x:c>
      <x:c r="Q126" s="98" t="n">
        <x:v>0.7492625831048387</x:v>
      </x:c>
      <x:c r="R126" s="98" t="n">
        <x:v>0.545</x:v>
      </x:c>
      <x:c r="S126" s="98" t="n">
        <x:v>0.5</x:v>
      </x:c>
      <x:c r="T126" s="98" t="n">
        <x:v>0.28</x:v>
      </x:c>
      <x:c r="U126" s="98" t="n">
        <x:v>0.5</x:v>
      </x:c>
      <x:c r="V126" s="98" t="n">
        <x:v>0.76</x:v>
      </x:c>
      <x:c r="W126" s="98" t="n">
        <x:v>0.9503105590062113</x:v>
      </x:c>
      <x:c r="X126" s="90" t="str">
        <x:v>D</x:v>
      </x:c>
      <x:c r="Y126" s="90" t="n">
        <x:v>0</x:v>
      </x:c>
      <x:c r="Z126" s="90" t="str">
        <x:v>ALSAC data science, propensity modeling, DataRobot, Python/SQL and ML research form a clear progression.</x:v>
      </x:c>
      <x:c r="AA126" s="90" t="str">
        <x:v>CPT/future-sponsorship wording must be verified; Observed roles show graduate-degree skew; Low personal industry preference; No matching public role found in reviewed trackers; LinkedIn network evidence pending</x:v>
      </x:c>
      <x:c r="AB126" s="90" t="str">
        <x:v>No matching role found in reviewed public trackers; treated as missing evidence, not a negative.</x:v>
      </x:c>
      <x:c r="AC126" s="90" t="str"/>
      <x:c r="AD126" s="90" t="str">
        <x:v>Sep-Nov 2026</x:v>
      </x:c>
      <x:c r="AE126" s="90" t="str">
        <x:v>https://jobs.dominos.com</x:v>
      </x:c>
    </x:row>
    <x:row r="127" ht="54" customHeight="1">
      <x:c r="A127" s="90" t="n">
        <x:v>123</x:v>
      </x:c>
      <x:c r="B127" s="90" t="str">
        <x:v>Experian</x:v>
      </x:c>
      <x:c r="C127" s="90" t="str">
        <x:v>Stretch</x:v>
      </x:c>
      <x:c r="D127" s="90" t="n">
        <x:v>116</x:v>
      </x:c>
      <x:c r="E127" s="90" t="n">
        <x:v>53</x:v>
      </x:c>
      <x:c r="F127" s="90" t="n">
        <x:v>148</x:v>
      </x:c>
      <x:c r="G127" s="98" t="n">
        <x:v>0.017883333333333334</x:v>
      </x:c>
      <x:c r="H127" s="98" t="n">
        <x:v>0.06118333333333333</x:v>
      </x:c>
      <x:c r="I127" s="98" t="n">
        <x:v>0.22693333333333332</x:v>
      </x:c>
      <x:c r="J127" s="90" t="str">
        <x:v>Low</x:v>
      </x:c>
      <x:c r="K127" s="90" t="str">
        <x:v>Data</x:v>
      </x:c>
      <x:c r="L127" s="90" t="str">
        <x:v>Data Science Intern</x:v>
      </x:c>
      <x:c r="M127" s="90" t="str">
        <x:v>Data Science</x:v>
      </x:c>
      <x:c r="N127" s="98" t="n">
        <x:v>0.62</x:v>
      </x:c>
      <x:c r="O127" s="90" t="str">
        <x:v>Role-specific; verify future-sponsorship wording</x:v>
      </x:c>
      <x:c r="P127" s="98" t="n">
        <x:v>0.8362936915656354</x:v>
      </x:c>
      <x:c r="Q127" s="98" t="n">
        <x:v>0.5619579437709022</x:v>
      </x:c>
      <x:c r="R127" s="98" t="n">
        <x:v>0.545</x:v>
      </x:c>
      <x:c r="S127" s="98" t="n">
        <x:v>0.5</x:v>
      </x:c>
      <x:c r="T127" s="98" t="n">
        <x:v>0.62</x:v>
      </x:c>
      <x:c r="U127" s="98" t="n">
        <x:v>0.5</x:v>
      </x:c>
      <x:c r="V127" s="98" t="n">
        <x:v>0.76</x:v>
      </x:c>
      <x:c r="W127" s="98" t="n">
        <x:v>0.6024844720496894</x:v>
      </x:c>
      <x:c r="X127" s="90" t="str">
        <x:v>D</x:v>
      </x:c>
      <x:c r="Y127" s="90" t="n">
        <x:v>0</x:v>
      </x:c>
      <x:c r="Z127" s="90" t="str">
        <x:v>ALSAC data science, propensity modeling, DataRobot, Python/SQL and ML research form a clear progression.</x:v>
      </x:c>
      <x:c r="AA127" s="90" t="str">
        <x:v>CPT/future-sponsorship wording must be verified; Observed roles show graduate-degree skew; No matching public role found in reviewed trackers; LinkedIn network evidence pending</x:v>
      </x:c>
      <x:c r="AB127" s="90" t="str">
        <x:v>No matching role found in reviewed public trackers; treated as missing evidence, not a negative.</x:v>
      </x:c>
      <x:c r="AC127" s="90" t="str"/>
      <x:c r="AD127" s="90" t="str">
        <x:v>Oct-Dec 2026</x:v>
      </x:c>
      <x:c r="AE127" s="90" t="str">
        <x:v>https://www.experian.com/careers/students</x:v>
      </x:c>
    </x:row>
    <x:row r="128" ht="54" customHeight="1">
      <x:c r="A128" s="90" t="n">
        <x:v>124</x:v>
      </x:c>
      <x:c r="B128" s="90" t="str">
        <x:v>Equifax</x:v>
      </x:c>
      <x:c r="C128" s="90" t="str">
        <x:v>Stretch</x:v>
      </x:c>
      <x:c r="D128" s="90" t="n">
        <x:v>117</x:v>
      </x:c>
      <x:c r="E128" s="90" t="n">
        <x:v>53</x:v>
      </x:c>
      <x:c r="F128" s="90" t="n">
        <x:v>148</x:v>
      </x:c>
      <x:c r="G128" s="98" t="n">
        <x:v>0.0172</x:v>
      </x:c>
      <x:c r="H128" s="98" t="n">
        <x:v>0.06015</x:v>
      </x:c>
      <x:c r="I128" s="98" t="n">
        <x:v>0.22423333333333334</x:v>
      </x:c>
      <x:c r="J128" s="90" t="str">
        <x:v>Low</x:v>
      </x:c>
      <x:c r="K128" s="90" t="str">
        <x:v>Data</x:v>
      </x:c>
      <x:c r="L128" s="90" t="str">
        <x:v>Data Science Intern</x:v>
      </x:c>
      <x:c r="M128" s="90" t="str">
        <x:v>Data Science</x:v>
      </x:c>
      <x:c r="N128" s="98" t="n">
        <x:v>0.62</x:v>
      </x:c>
      <x:c r="O128" s="90" t="str">
        <x:v>Role-specific; verify future-sponsorship wording</x:v>
      </x:c>
      <x:c r="P128" s="98" t="n">
        <x:v>0.8362936915656354</x:v>
      </x:c>
      <x:c r="Q128" s="98" t="n">
        <x:v>0.5619579437709022</x:v>
      </x:c>
      <x:c r="R128" s="98" t="n">
        <x:v>0.545</x:v>
      </x:c>
      <x:c r="S128" s="98" t="n">
        <x:v>0.5</x:v>
      </x:c>
      <x:c r="T128" s="98" t="n">
        <x:v>0.62</x:v>
      </x:c>
      <x:c r="U128" s="98" t="n">
        <x:v>0.5</x:v>
      </x:c>
      <x:c r="V128" s="98" t="n">
        <x:v>0.76</x:v>
      </x:c>
      <x:c r="W128" s="98" t="n">
        <x:v>0.5975155279503106</x:v>
      </x:c>
      <x:c r="X128" s="90" t="str">
        <x:v>D</x:v>
      </x:c>
      <x:c r="Y128" s="90" t="n">
        <x:v>0</x:v>
      </x:c>
      <x:c r="Z128" s="90" t="str">
        <x:v>ALSAC data science, propensity modeling, DataRobot, Python/SQL and ML research form a clear progression.</x:v>
      </x:c>
      <x:c r="AA128" s="90" t="str">
        <x:v>CPT/future-sponsorship wording must be verified; Observed roles show graduate-degree skew; No matching public role found in reviewed trackers; LinkedIn network evidence pending</x:v>
      </x:c>
      <x:c r="AB128" s="90" t="str">
        <x:v>No matching role found in reviewed public trackers; treated as missing evidence, not a negative.</x:v>
      </x:c>
      <x:c r="AC128" s="90" t="str"/>
      <x:c r="AD128" s="90" t="str">
        <x:v>Oct-Dec 2026</x:v>
      </x:c>
      <x:c r="AE128" s="90" t="str">
        <x:v>https://careers.equifax.com/students</x:v>
      </x:c>
    </x:row>
    <x:row r="129" ht="54" customHeight="1">
      <x:c r="A129" s="90" t="n">
        <x:v>125</x:v>
      </x:c>
      <x:c r="B129" s="90" t="str">
        <x:v>FICO</x:v>
      </x:c>
      <x:c r="C129" s="90" t="str">
        <x:v>Stretch</x:v>
      </x:c>
      <x:c r="D129" s="90" t="n">
        <x:v>117</x:v>
      </x:c>
      <x:c r="E129" s="90" t="n">
        <x:v>54</x:v>
      </x:c>
      <x:c r="F129" s="90" t="n">
        <x:v>148</x:v>
      </x:c>
      <x:c r="G129" s="98" t="n">
        <x:v>0.016666666666666666</x:v>
      </x:c>
      <x:c r="H129" s="98" t="n">
        <x:v>0.058383333333333336</x:v>
      </x:c>
      <x:c r="I129" s="98" t="n">
        <x:v>0.21978333333333333</x:v>
      </x:c>
      <x:c r="J129" s="90" t="str">
        <x:v>Low</x:v>
      </x:c>
      <x:c r="K129" s="90" t="str">
        <x:v>Data</x:v>
      </x:c>
      <x:c r="L129" s="90" t="str">
        <x:v>Data Science Intern</x:v>
      </x:c>
      <x:c r="M129" s="90" t="str">
        <x:v>Data Science</x:v>
      </x:c>
      <x:c r="N129" s="98" t="n">
        <x:v>0.62</x:v>
      </x:c>
      <x:c r="O129" s="90" t="str">
        <x:v>Role-specific; verify future-sponsorship wording</x:v>
      </x:c>
      <x:c r="P129" s="98" t="n">
        <x:v>0.8362936915656354</x:v>
      </x:c>
      <x:c r="Q129" s="98" t="n">
        <x:v>0.5619579437709022</x:v>
      </x:c>
      <x:c r="R129" s="98" t="n">
        <x:v>0.545</x:v>
      </x:c>
      <x:c r="S129" s="98" t="n">
        <x:v>0.5</x:v>
      </x:c>
      <x:c r="T129" s="98" t="n">
        <x:v>0.62</x:v>
      </x:c>
      <x:c r="U129" s="98" t="n">
        <x:v>0.5</x:v>
      </x:c>
      <x:c r="V129" s="98" t="n">
        <x:v>0.76</x:v>
      </x:c>
      <x:c r="W129" s="98" t="n">
        <x:v>0.5875776397515529</x:v>
      </x:c>
      <x:c r="X129" s="90" t="str">
        <x:v>D</x:v>
      </x:c>
      <x:c r="Y129" s="90" t="n">
        <x:v>0</x:v>
      </x:c>
      <x:c r="Z129" s="90" t="str">
        <x:v>ALSAC data science, propensity modeling, DataRobot, Python/SQL and ML research form a clear progression.</x:v>
      </x:c>
      <x:c r="AA129" s="90" t="str">
        <x:v>CPT/future-sponsorship wording must be verified; Observed roles show graduate-degree skew; No matching public role found in reviewed trackers; LinkedIn network evidence pending</x:v>
      </x:c>
      <x:c r="AB129" s="90" t="str">
        <x:v>No matching role found in reviewed public trackers; treated as missing evidence, not a negative.</x:v>
      </x:c>
      <x:c r="AC129" s="90" t="str"/>
      <x:c r="AD129" s="90" t="str">
        <x:v>Oct-Dec 2026</x:v>
      </x:c>
      <x:c r="AE129" s="90" t="str">
        <x:v>https://www.fico.com/en/careers</x:v>
      </x:c>
    </x:row>
    <x:row r="130" ht="54" customHeight="1">
      <x:c r="A130" s="90" t="n">
        <x:v>126</x:v>
      </x:c>
      <x:c r="B130" s="90" t="str">
        <x:v>TransUnion</x:v>
      </x:c>
      <x:c r="C130" s="90" t="str">
        <x:v>Stretch</x:v>
      </x:c>
      <x:c r="D130" s="90" t="n">
        <x:v>117</x:v>
      </x:c>
      <x:c r="E130" s="90" t="n">
        <x:v>54</x:v>
      </x:c>
      <x:c r="F130" s="90" t="n">
        <x:v>149</x:v>
      </x:c>
      <x:c r="G130" s="98" t="n">
        <x:v>0.016016666666666665</x:v>
      </x:c>
      <x:c r="H130" s="98" t="n">
        <x:v>0.05871666666666667</x:v>
      </x:c>
      <x:c r="I130" s="98" t="n">
        <x:v>0.21945</x:v>
      </x:c>
      <x:c r="J130" s="90" t="str">
        <x:v>Low</x:v>
      </x:c>
      <x:c r="K130" s="90" t="str">
        <x:v>Data</x:v>
      </x:c>
      <x:c r="L130" s="90" t="str">
        <x:v>Data Science Intern</x:v>
      </x:c>
      <x:c r="M130" s="90" t="str">
        <x:v>Data Science</x:v>
      </x:c>
      <x:c r="N130" s="98" t="n">
        <x:v>0.62</x:v>
      </x:c>
      <x:c r="O130" s="90" t="str">
        <x:v>Role-specific; verify future-sponsorship wording</x:v>
      </x:c>
      <x:c r="P130" s="98" t="n">
        <x:v>0.8362936915656354</x:v>
      </x:c>
      <x:c r="Q130" s="98" t="n">
        <x:v>0.5619579437709022</x:v>
      </x:c>
      <x:c r="R130" s="98" t="n">
        <x:v>0.545</x:v>
      </x:c>
      <x:c r="S130" s="98" t="n">
        <x:v>0.5</x:v>
      </x:c>
      <x:c r="T130" s="98" t="n">
        <x:v>0.62</x:v>
      </x:c>
      <x:c r="U130" s="98" t="n">
        <x:v>0.5</x:v>
      </x:c>
      <x:c r="V130" s="98" t="n">
        <x:v>0.76</x:v>
      </x:c>
      <x:c r="W130" s="98" t="n">
        <x:v>0.5925465838509317</x:v>
      </x:c>
      <x:c r="X130" s="90" t="str">
        <x:v>D</x:v>
      </x:c>
      <x:c r="Y130" s="90" t="n">
        <x:v>0</x:v>
      </x:c>
      <x:c r="Z130" s="90" t="str">
        <x:v>ALSAC data science, propensity modeling, DataRobot, Python/SQL and ML research form a clear progression.</x:v>
      </x:c>
      <x:c r="AA130" s="90" t="str">
        <x:v>CPT/future-sponsorship wording must be verified; Observed roles show graduate-degree skew; No matching public role found in reviewed trackers; LinkedIn network evidence pending</x:v>
      </x:c>
      <x:c r="AB130" s="90" t="str">
        <x:v>No matching role found in reviewed public trackers; treated as missing evidence, not a negative.</x:v>
      </x:c>
      <x:c r="AC130" s="90" t="str"/>
      <x:c r="AD130" s="90" t="str">
        <x:v>Oct-Dec 2026</x:v>
      </x:c>
      <x:c r="AE130" s="90" t="str">
        <x:v>https://www.transunion.com/careers/students</x:v>
      </x:c>
    </x:row>
    <x:row r="131" ht="54" customHeight="1">
      <x:c r="A131" s="90" t="n">
        <x:v>127</x:v>
      </x:c>
      <x:c r="B131" s="90" t="str">
        <x:v>Lowe's</x:v>
      </x:c>
      <x:c r="C131" s="90" t="str">
        <x:v>Stretch</x:v>
      </x:c>
      <x:c r="D131" s="90" t="n">
        <x:v>118</x:v>
      </x:c>
      <x:c r="E131" s="90" t="n">
        <x:v>55</x:v>
      </x:c>
      <x:c r="F131" s="90" t="n">
        <x:v>149</x:v>
      </x:c>
      <x:c r="G131" s="98" t="n">
        <x:v>0.015266666666666666</x:v>
      </x:c>
      <x:c r="H131" s="98" t="n">
        <x:v>0.054533333333333336</x:v>
      </x:c>
      <x:c r="I131" s="98" t="n">
        <x:v>0.21331666666666665</x:v>
      </x:c>
      <x:c r="J131" s="90" t="str">
        <x:v>Low</x:v>
      </x:c>
      <x:c r="K131" s="90" t="str">
        <x:v>Retail</x:v>
      </x:c>
      <x:c r="L131" s="90" t="str">
        <x:v>Data Analytics Intern</x:v>
      </x:c>
      <x:c r="M131" s="90" t="str">
        <x:v>Data Analytics</x:v>
      </x:c>
      <x:c r="N131" s="98" t="n">
        <x:v>0.62</x:v>
      </x:c>
      <x:c r="O131" s="90" t="str">
        <x:v>Role-specific; verify future-sponsorship wording</x:v>
      </x:c>
      <x:c r="P131" s="98" t="n">
        <x:v>0.9143413921888797</x:v>
      </x:c>
      <x:c r="Q131" s="98" t="n">
        <x:v>0.428942614592531</x:v>
      </x:c>
      <x:c r="R131" s="98" t="n">
        <x:v>0.644</x:v>
      </x:c>
      <x:c r="S131" s="98" t="n">
        <x:v>0.5</x:v>
      </x:c>
      <x:c r="T131" s="98" t="n">
        <x:v>0.28</x:v>
      </x:c>
      <x:c r="U131" s="98" t="n">
        <x:v>0.5</x:v>
      </x:c>
      <x:c r="V131" s="98" t="n">
        <x:v>0.76</x:v>
      </x:c>
      <x:c r="W131" s="98" t="n">
        <x:v>0.6124223602484472</x:v>
      </x:c>
      <x:c r="X131" s="90" t="str">
        <x:v>D</x:v>
      </x:c>
      <x:c r="Y131" s="90" t="n">
        <x:v>0</x:v>
      </x:c>
      <x:c r="Z131" s="90" t="str">
        <x:v>Three analytics internships plus SQL, Python, Tableau, forecasting and segmentation directly match the lane.</x:v>
      </x:c>
      <x:c r="AA131" s="90" t="str">
        <x:v>CPT/future-sponsorship wording must be verified; Low personal industry preference; No matching public role found in reviewed trackers; LinkedIn network evidence pending</x:v>
      </x:c>
      <x:c r="AB131" s="90" t="str">
        <x:v>No matching role found in reviewed public trackers; treated as missing evidence, not a negative.</x:v>
      </x:c>
      <x:c r="AC131" s="90" t="str"/>
      <x:c r="AD131" s="90" t="str">
        <x:v>Sep-Nov 2026</x:v>
      </x:c>
      <x:c r="AE131" s="90" t="str">
        <x:v>https://talent.lowes.com/us/en/students</x:v>
      </x:c>
    </x:row>
    <x:row r="132" ht="54" customHeight="1">
      <x:c r="A132" s="90" t="n">
        <x:v>128</x:v>
      </x:c>
      <x:c r="B132" s="90" t="str">
        <x:v>MSCI</x:v>
      </x:c>
      <x:c r="C132" s="90" t="str">
        <x:v>Stretch</x:v>
      </x:c>
      <x:c r="D132" s="90" t="n">
        <x:v>118</x:v>
      </x:c>
      <x:c r="E132" s="90" t="n">
        <x:v>55</x:v>
      </x:c>
      <x:c r="F132" s="90" t="n">
        <x:v>149</x:v>
      </x:c>
      <x:c r="G132" s="98" t="n">
        <x:v>0.014766666666666668</x:v>
      </x:c>
      <x:c r="H132" s="98" t="n">
        <x:v>0.054233333333333335</x:v>
      </x:c>
      <x:c r="I132" s="98" t="n">
        <x:v>0.21093333333333333</x:v>
      </x:c>
      <x:c r="J132" s="90" t="str">
        <x:v>Low</x:v>
      </x:c>
      <x:c r="K132" s="90" t="str">
        <x:v>Finance/Data</x:v>
      </x:c>
      <x:c r="L132" s="90" t="str">
        <x:v>Data / Research Intern</x:v>
      </x:c>
      <x:c r="M132" s="90" t="str">
        <x:v>Data/Analytics</x:v>
      </x:c>
      <x:c r="N132" s="98" t="n">
        <x:v>0.62</x:v>
      </x:c>
      <x:c r="O132" s="90" t="str">
        <x:v>Role-specific; verify future-sponsorship wording</x:v>
      </x:c>
      <x:c r="P132" s="98" t="n">
        <x:v>0.7774854678568683</x:v>
      </x:c>
      <x:c r="Q132" s="98" t="n">
        <x:v>0.28323645237912143</x:v>
      </x:c>
      <x:c r="R132" s="98" t="n">
        <x:v>0.635</x:v>
      </x:c>
      <x:c r="S132" s="98" t="n">
        <x:v>0.5</x:v>
      </x:c>
      <x:c r="T132" s="98" t="n">
        <x:v>0.92</x:v>
      </x:c>
      <x:c r="U132" s="98" t="n">
        <x:v>0.5</x:v>
      </x:c>
      <x:c r="V132" s="98" t="n">
        <x:v>0.76</x:v>
      </x:c>
      <x:c r="W132" s="98" t="n">
        <x:v>0.3093167701863354</x:v>
      </x:c>
      <x:c r="X132" s="90" t="str">
        <x:v>D</x:v>
      </x:c>
      <x:c r="Y132" s="90" t="n">
        <x:v>0</x:v>
      </x:c>
      <x:c r="Z132" s="90" t="str">
        <x:v>ALSAC, Mankind and Kajaria provide a three-internship analytics progression before junior year.</x:v>
      </x:c>
      <x:c r="AA132" s="90" t="str">
        <x:v>CPT/future-sponsorship wording must be verified; No matching public role found in reviewed trackers; LinkedIn network evidence pending</x:v>
      </x:c>
      <x:c r="AB132" s="90" t="str">
        <x:v>No matching role found in reviewed public trackers; treated as missing evidence, not a negative.</x:v>
      </x:c>
      <x:c r="AC132" s="90" t="str"/>
      <x:c r="AD132" s="90" t="str">
        <x:v>Sep-Nov 2026</x:v>
      </x:c>
      <x:c r="AE132" s="90" t="str">
        <x:v>https://www.msci.com/careers</x:v>
      </x:c>
    </x:row>
    <x:row r="133" ht="54" customHeight="1">
      <x:c r="A133" s="90" t="n">
        <x:v>129</x:v>
      </x:c>
      <x:c r="B133" s="90" t="str">
        <x:v>S&amp;P Global</x:v>
      </x:c>
      <x:c r="C133" s="90" t="str">
        <x:v>Stretch</x:v>
      </x:c>
      <x:c r="D133" s="90" t="n">
        <x:v>118</x:v>
      </x:c>
      <x:c r="E133" s="90" t="n">
        <x:v>55</x:v>
      </x:c>
      <x:c r="F133" s="90" t="n">
        <x:v>149</x:v>
      </x:c>
      <x:c r="G133" s="98" t="n">
        <x:v>0.016266666666666665</x:v>
      </x:c>
      <x:c r="H133" s="98" t="n">
        <x:v>0.05736666666666667</x:v>
      </x:c>
      <x:c r="I133" s="98" t="n">
        <x:v>0.21335</x:v>
      </x:c>
      <x:c r="J133" s="90" t="str">
        <x:v>Low</x:v>
      </x:c>
      <x:c r="K133" s="90" t="str">
        <x:v>Finance/Data</x:v>
      </x:c>
      <x:c r="L133" s="90" t="str">
        <x:v>Data Science Intern</x:v>
      </x:c>
      <x:c r="M133" s="90" t="str">
        <x:v>Data Science</x:v>
      </x:c>
      <x:c r="N133" s="98" t="n">
        <x:v>0.62</x:v>
      </x:c>
      <x:c r="O133" s="90" t="str">
        <x:v>Role-specific; verify future-sponsorship wording</x:v>
      </x:c>
      <x:c r="P133" s="98" t="n">
        <x:v>0.8205852978567879</x:v>
      </x:c>
      <x:c r="Q133" s="98" t="n">
        <x:v>0.4572353190452527</x:v>
      </x:c>
      <x:c r="R133" s="98" t="n">
        <x:v>0.545</x:v>
      </x:c>
      <x:c r="S133" s="98" t="n">
        <x:v>0.5</x:v>
      </x:c>
      <x:c r="T133" s="98" t="n">
        <x:v>0.92</x:v>
      </x:c>
      <x:c r="U133" s="98" t="n">
        <x:v>0.5</x:v>
      </x:c>
      <x:c r="V133" s="98" t="n">
        <x:v>0.76</x:v>
      </x:c>
      <x:c r="W133" s="98" t="n">
        <x:v>0.31428571428571433</x:v>
      </x:c>
      <x:c r="X133" s="90" t="str">
        <x:v>D</x:v>
      </x:c>
      <x:c r="Y133" s="90" t="n">
        <x:v>0</x:v>
      </x:c>
      <x:c r="Z133" s="90" t="str">
        <x:v>ALSAC data science, propensity modeling, DataRobot, Python/SQL and ML research form a clear progression.</x:v>
      </x:c>
      <x:c r="AA133" s="90" t="str">
        <x:v>CPT/future-sponsorship wording must be verified; Observed roles show graduate-degree skew; No matching public role found in reviewed trackers; LinkedIn network evidence pending</x:v>
      </x:c>
      <x:c r="AB133" s="90" t="str">
        <x:v>No matching role found in reviewed public trackers; treated as missing evidence, not a negative.</x:v>
      </x:c>
      <x:c r="AC133" s="90" t="str"/>
      <x:c r="AD133" s="90" t="str">
        <x:v>Sep-Nov 2026</x:v>
      </x:c>
      <x:c r="AE133" s="90" t="str">
        <x:v>https://www.spglobal.com/en/careers/early-careers</x:v>
      </x:c>
    </x:row>
    <x:row r="134" ht="54" customHeight="1">
      <x:c r="A134" s="90" t="n">
        <x:v>130</x:v>
      </x:c>
      <x:c r="B134" s="90" t="str">
        <x:v>OpenAI</x:v>
      </x:c>
      <x:c r="C134" s="90" t="str">
        <x:v>Stretch</x:v>
      </x:c>
      <x:c r="D134" s="90" t="n">
        <x:v>120</x:v>
      </x:c>
      <x:c r="E134" s="90" t="n">
        <x:v>58</x:v>
      </x:c>
      <x:c r="F134" s="90" t="n">
        <x:v>149</x:v>
      </x:c>
      <x:c r="G134" s="98" t="n">
        <x:v>0.013116666666666667</x:v>
      </x:c>
      <x:c r="H134" s="98" t="n">
        <x:v>0.04831666666666667</x:v>
      </x:c>
      <x:c r="I134" s="98" t="n">
        <x:v>0.19538333333333333</x:v>
      </x:c>
      <x:c r="J134" s="90" t="str">
        <x:v>Low</x:v>
      </x:c>
      <x:c r="K134" s="90" t="str">
        <x:v>Big Tech / AI</x:v>
      </x:c>
      <x:c r="L134" s="90" t="str">
        <x:v>Research / Data Intern</x:v>
      </x:c>
      <x:c r="M134" s="90" t="str">
        <x:v>Data Science</x:v>
      </x:c>
      <x:c r="N134" s="98" t="n">
        <x:v>0.62</x:v>
      </x:c>
      <x:c r="O134" s="90" t="str">
        <x:v>Role-specific; verify future-sponsorship wording</x:v>
      </x:c>
      <x:c r="P134" s="98" t="n">
        <x:v>0.8385209721744891</x:v>
      </x:c>
      <x:c r="Q134" s="98" t="n">
        <x:v>0.5768064811632598</x:v>
      </x:c>
      <x:c r="R134" s="98" t="n">
        <x:v>0.545</x:v>
      </x:c>
      <x:c r="S134" s="98" t="n">
        <x:v>0.5</x:v>
      </x:c>
      <x:c r="T134" s="98" t="n">
        <x:v>0.92</x:v>
      </x:c>
      <x:c r="U134" s="98" t="n">
        <x:v>0.5</x:v>
      </x:c>
      <x:c r="V134" s="98" t="n">
        <x:v>0.76</x:v>
      </x:c>
      <x:c r="W134" s="98" t="n">
        <x:v>0.21490683229813667</x:v>
      </x:c>
      <x:c r="X134" s="90" t="str">
        <x:v>D</x:v>
      </x:c>
      <x:c r="Y134" s="90" t="n">
        <x:v>0</x:v>
      </x:c>
      <x:c r="Z134" s="90" t="str">
        <x:v>ALSAC data science, propensity modeling, DataRobot, Python/SQL and ML research form a clear progression.</x:v>
      </x:c>
      <x:c r="AA134" s="90" t="str">
        <x:v>CPT/future-sponsorship wording must be verified; Observed roles show graduate-degree skew; No matching public role found in reviewed trackers; LinkedIn network evidence pending</x:v>
      </x:c>
      <x:c r="AB134" s="90" t="str">
        <x:v>No matching role found in reviewed public trackers; treated as missing evidence, not a negative.</x:v>
      </x:c>
      <x:c r="AC134" s="90" t="str"/>
      <x:c r="AD134" s="90" t="str">
        <x:v>Sep-Nov 2026</x:v>
      </x:c>
      <x:c r="AE134" s="90" t="str">
        <x:v>https://openai.com/careers/</x:v>
      </x:c>
    </x:row>
    <x:row r="135" ht="54" customHeight="1">
      <x:c r="A135" s="90" t="n">
        <x:v>131</x:v>
      </x:c>
      <x:c r="B135" s="90" t="str">
        <x:v>KPMG</x:v>
      </x:c>
      <x:c r="C135" s="90" t="str">
        <x:v>Stretch</x:v>
      </x:c>
      <x:c r="D135" s="90" t="n">
        <x:v>122</x:v>
      </x:c>
      <x:c r="E135" s="90" t="n">
        <x:v>74</x:v>
      </x:c>
      <x:c r="F135" s="90" t="n">
        <x:v>146</x:v>
      </x:c>
      <x:c r="G135" s="98" t="n">
        <x:v>0.0026666666666666666</x:v>
      </x:c>
      <x:c r="H135" s="98" t="n">
        <x:v>0.0168</x:v>
      </x:c>
      <x:c r="I135" s="98" t="n">
        <x:v>0.12861666666666666</x:v>
      </x:c>
      <x:c r="J135" s="90" t="str">
        <x:v>Low</x:v>
      </x:c>
      <x:c r="K135" s="90" t="str">
        <x:v>Consulting</x:v>
      </x:c>
      <x:c r="L135" s="90" t="str">
        <x:v>Advisory / Data Analytics Intern</x:v>
      </x:c>
      <x:c r="M135" s="90" t="str">
        <x:v>Analytics Consulting</x:v>
      </x:c>
      <x:c r="N135" s="98" t="n">
        <x:v>0.5599999999999999</x:v>
      </x:c>
      <x:c r="O135" s="90" t="str">
        <x:v>Role-specific; verify future-sponsorship wording</x:v>
      </x:c>
      <x:c r="P135" s="98" t="n">
        <x:v>0.8431581307917386</x:v>
      </x:c>
      <x:c r="Q135" s="98" t="n">
        <x:v>0.3410542052782568</x:v>
      </x:c>
      <x:c r="R135" s="98" t="n">
        <x:v>0.635</x:v>
      </x:c>
      <x:c r="S135" s="98" t="n">
        <x:v>0.5</x:v>
      </x:c>
      <x:c r="T135" s="98" t="n">
        <x:v>0.8</x:v>
      </x:c>
      <x:c r="U135" s="98" t="n">
        <x:v>0.5</x:v>
      </x:c>
      <x:c r="V135" s="98" t="n">
        <x:v>0.6799999999999999</x:v>
      </x:c>
      <x:c r="W135" s="98" t="n">
        <x:v>0.38881987577639754</x:v>
      </x:c>
      <x:c r="X135" s="90" t="str">
        <x:v>D</x:v>
      </x:c>
      <x:c r="Y135" s="90" t="n">
        <x:v>0</x:v>
      </x:c>
      <x:c r="Z135" s="90" t="str">
        <x:v>Technical analytics plus economics, research and residential leadership support client-facing analytical work.</x:v>
      </x:c>
      <x:c r="AA135" s="90" t="str">
        <x:v>CPT/future-sponsorship wording must be verified; 3.31 GPA may sit below a preferred threshold; No matching public role found in reviewed trackers; LinkedIn network evidence pending</x:v>
      </x:c>
      <x:c r="AB135" s="90" t="str">
        <x:v>No matching role found in reviewed public trackers; treated as missing evidence, not a negative.</x:v>
      </x:c>
      <x:c r="AC135" s="90" t="str"/>
      <x:c r="AD135" s="90" t="str">
        <x:v>Opens Jul-Sep 2026, rolling by office.</x:v>
      </x:c>
      <x:c r="AE135" s="90" t="str">
        <x:v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x:v>
      </x:c>
    </x:row>
    <x:row r="136" ht="54" customHeight="1">
      <x:c r="A136" s="90" t="n">
        <x:v>132</x:v>
      </x:c>
      <x:c r="B136" s="90" t="str">
        <x:v>Best Buy</x:v>
      </x:c>
      <x:c r="C136" s="90" t="str">
        <x:v>Stretch</x:v>
      </x:c>
      <x:c r="D136" s="90" t="n">
        <x:v>122</x:v>
      </x:c>
      <x:c r="E136" s="90" t="n">
        <x:v>61</x:v>
      </x:c>
      <x:c r="F136" s="90" t="n">
        <x:v>150</x:v>
      </x:c>
      <x:c r="G136" s="98" t="n">
        <x:v>0.011483333333333333</x:v>
      </x:c>
      <x:c r="H136" s="98" t="n">
        <x:v>0.043416666666666666</x:v>
      </x:c>
      <x:c r="I136" s="98" t="n">
        <x:v>0.1845</x:v>
      </x:c>
      <x:c r="J136" s="90" t="str">
        <x:v>Low</x:v>
      </x:c>
      <x:c r="K136" s="90" t="str">
        <x:v>Retail</x:v>
      </x:c>
      <x:c r="L136" s="90" t="str">
        <x:v>Data Analytics Intern</x:v>
      </x:c>
      <x:c r="M136" s="90" t="str">
        <x:v>Data Analytics</x:v>
      </x:c>
      <x:c r="N136" s="98" t="n">
        <x:v>0.62</x:v>
      </x:c>
      <x:c r="O136" s="90" t="str">
        <x:v>Role-specific; verify future-sponsorship wording</x:v>
      </x:c>
      <x:c r="P136" s="98" t="n">
        <x:v>0.9143413921888797</x:v>
      </x:c>
      <x:c r="Q136" s="98" t="n">
        <x:v>0.428942614592531</x:v>
      </x:c>
      <x:c r="R136" s="98" t="n">
        <x:v>0.644</x:v>
      </x:c>
      <x:c r="S136" s="98" t="n">
        <x:v>0.5</x:v>
      </x:c>
      <x:c r="T136" s="98" t="n">
        <x:v>0.28</x:v>
      </x:c>
      <x:c r="U136" s="98" t="n">
        <x:v>0.5</x:v>
      </x:c>
      <x:c r="V136" s="98" t="n">
        <x:v>0.76</x:v>
      </x:c>
      <x:c r="W136" s="98" t="n">
        <x:v>0.537888198757764</x:v>
      </x:c>
      <x:c r="X136" s="90" t="str">
        <x:v>D</x:v>
      </x:c>
      <x:c r="Y136" s="90" t="n">
        <x:v>0</x:v>
      </x:c>
      <x:c r="Z136" s="90" t="str">
        <x:v>Three analytics internships plus SQL, Python, Tableau, forecasting and segmentation directly match the lane.</x:v>
      </x:c>
      <x:c r="AA136" s="90" t="str">
        <x:v>CPT/future-sponsorship wording must be verified; Low personal industry preference; No matching public role found in reviewed trackers; LinkedIn network evidence pending</x:v>
      </x:c>
      <x:c r="AB136" s="90" t="str">
        <x:v>No matching role found in reviewed public trackers; treated as missing evidence, not a negative.</x:v>
      </x:c>
      <x:c r="AC136" s="90" t="str"/>
      <x:c r="AD136" s="90" t="str">
        <x:v>Sep-Nov 2026</x:v>
      </x:c>
      <x:c r="AE136" s="90" t="str">
        <x:v>https://jobs.bestbuy.com/students</x:v>
      </x:c>
    </x:row>
    <x:row r="137" ht="54" customHeight="1">
      <x:c r="A137" s="90" t="n">
        <x:v>133</x:v>
      </x:c>
      <x:c r="B137" s="90" t="str">
        <x:v>FedEx</x:v>
      </x:c>
      <x:c r="C137" s="90" t="str">
        <x:v>Stretch</x:v>
      </x:c>
      <x:c r="D137" s="90" t="n">
        <x:v>122</x:v>
      </x:c>
      <x:c r="E137" s="90" t="n">
        <x:v>62</x:v>
      </x:c>
      <x:c r="F137" s="90" t="n">
        <x:v>150</x:v>
      </x:c>
      <x:c r="G137" s="98" t="n">
        <x:v>0.009916666666666667</x:v>
      </x:c>
      <x:c r="H137" s="98" t="n">
        <x:v>0.04075</x:v>
      </x:c>
      <x:c r="I137" s="98" t="n">
        <x:v>0.17966666666666667</x:v>
      </x:c>
      <x:c r="J137" s="90" t="str">
        <x:v>Low</x:v>
      </x:c>
      <x:c r="K137" s="90" t="str">
        <x:v>Logistics/Tech</x:v>
      </x:c>
      <x:c r="L137" s="90" t="str">
        <x:v>Data Science Intern</x:v>
      </x:c>
      <x:c r="M137" s="90" t="str">
        <x:v>Data Science</x:v>
      </x:c>
      <x:c r="N137" s="98" t="n">
        <x:v>0.62</x:v>
      </x:c>
      <x:c r="O137" s="90" t="str">
        <x:v>Role-specific; verify future-sponsorship wording</x:v>
      </x:c>
      <x:c r="P137" s="98" t="n">
        <x:v>0.8208222800137598</x:v>
      </x:c>
      <x:c r="Q137" s="98" t="n">
        <x:v>0.4588152000917319</x:v>
      </x:c>
      <x:c r="R137" s="98" t="n">
        <x:v>0.545</x:v>
      </x:c>
      <x:c r="S137" s="98" t="n">
        <x:v>0.5</x:v>
      </x:c>
      <x:c r="T137" s="98" t="n">
        <x:v>0.28</x:v>
      </x:c>
      <x:c r="U137" s="98" t="n">
        <x:v>0.5</x:v>
      </x:c>
      <x:c r="V137" s="98" t="n">
        <x:v>0.76</x:v>
      </x:c>
      <x:c r="W137" s="98" t="n">
        <x:v>0.9354037267080745</x:v>
      </x:c>
      <x:c r="X137" s="90" t="str">
        <x:v>D</x:v>
      </x:c>
      <x:c r="Y137" s="90" t="n">
        <x:v>0</x:v>
      </x:c>
      <x:c r="Z137" s="90" t="str">
        <x:v>ALSAC data science, propensity modeling, DataRobot, Python/SQL and ML research form a clear progression.</x:v>
      </x:c>
      <x:c r="AA137" s="90" t="str">
        <x:v>CPT/future-sponsorship wording must be verified; Observed roles show graduate-degree skew; Low personal industry preference; No matching public role found in reviewed trackers; LinkedIn network evidence pending</x:v>
      </x:c>
      <x:c r="AB137" s="90" t="str">
        <x:v>No matching role found in reviewed public trackers; treated as missing evidence, not a negative.</x:v>
      </x:c>
      <x:c r="AC137" s="90" t="str"/>
      <x:c r="AD137" s="90" t="str">
        <x:v>Sep-Nov 2026</x:v>
      </x:c>
      <x:c r="AE137" s="90" t="str">
        <x:v>https://careers.fedex.com/students</x:v>
      </x:c>
    </x:row>
    <x:row r="138" ht="54" customHeight="1">
      <x:c r="A138" s="90" t="n">
        <x:v>134</x:v>
      </x:c>
      <x:c r="B138" s="90" t="str">
        <x:v>Anthropic</x:v>
      </x:c>
      <x:c r="C138" s="90" t="str">
        <x:v>Stretch</x:v>
      </x:c>
      <x:c r="D138" s="90" t="n">
        <x:v>123</x:v>
      </x:c>
      <x:c r="E138" s="90" t="n">
        <x:v>62</x:v>
      </x:c>
      <x:c r="F138" s="90" t="n">
        <x:v>150</x:v>
      </x:c>
      <x:c r="G138" s="98" t="n">
        <x:v>0.0107</x:v>
      </x:c>
      <x:c r="H138" s="98" t="n">
        <x:v>0.041683333333333336</x:v>
      </x:c>
      <x:c r="I138" s="98" t="n">
        <x:v>0.17401666666666665</x:v>
      </x:c>
      <x:c r="J138" s="90" t="str">
        <x:v>Low</x:v>
      </x:c>
      <x:c r="K138" s="90" t="str">
        <x:v>Big Tech / AI</x:v>
      </x:c>
      <x:c r="L138" s="90" t="str">
        <x:v>Data / Policy / Research Intern</x:v>
      </x:c>
      <x:c r="M138" s="90" t="str">
        <x:v>Data Science</x:v>
      </x:c>
      <x:c r="N138" s="98" t="n">
        <x:v>0.62</x:v>
      </x:c>
      <x:c r="O138" s="90" t="str">
        <x:v>Role-specific; verify future-sponsorship wording</x:v>
      </x:c>
      <x:c r="P138" s="98" t="n">
        <x:v>0.8206126836296352</x:v>
      </x:c>
      <x:c r="Q138" s="98" t="n">
        <x:v>0.4574178908642354</x:v>
      </x:c>
      <x:c r="R138" s="98" t="n">
        <x:v>0.545</x:v>
      </x:c>
      <x:c r="S138" s="98" t="n">
        <x:v>0.5</x:v>
      </x:c>
      <x:c r="T138" s="98" t="n">
        <x:v>0.92</x:v>
      </x:c>
      <x:c r="U138" s="98" t="n">
        <x:v>0.5</x:v>
      </x:c>
      <x:c r="V138" s="98" t="n">
        <x:v>0.76</x:v>
      </x:c>
      <x:c r="W138" s="98" t="n">
        <x:v>0.20993788819875778</x:v>
      </x:c>
      <x:c r="X138" s="90" t="str">
        <x:v>D</x:v>
      </x:c>
      <x:c r="Y138" s="90" t="n">
        <x:v>0</x:v>
      </x:c>
      <x:c r="Z138" s="90" t="str">
        <x:v>ALSAC data science, propensity modeling, DataRobot, Python/SQL and ML research form a clear progression.</x:v>
      </x:c>
      <x:c r="AA138" s="90" t="str">
        <x:v>CPT/future-sponsorship wording must be verified; Observed roles show graduate-degree skew; No matching public role found in reviewed trackers; LinkedIn network evidence pending</x:v>
      </x:c>
      <x:c r="AB138" s="90" t="str">
        <x:v>No matching role found in reviewed public trackers; treated as missing evidence, not a negative.</x:v>
      </x:c>
      <x:c r="AC138" s="90" t="str"/>
      <x:c r="AD138" s="90" t="str">
        <x:v>Varies</x:v>
      </x:c>
      <x:c r="AE138" s="90" t="str">
        <x:v>https://www.anthropic.com/careers</x:v>
      </x:c>
    </x:row>
    <x:row r="139" ht="54" customHeight="1">
      <x:c r="A139" s="90" t="n">
        <x:v>135</x:v>
      </x:c>
      <x:c r="B139" s="90" t="str">
        <x:v>Bank of America</x:v>
      </x:c>
      <x:c r="C139" s="90" t="str">
        <x:v>Stretch</x:v>
      </x:c>
      <x:c r="D139" s="90" t="n">
        <x:v>124</x:v>
      </x:c>
      <x:c r="E139" s="90" t="n">
        <x:v>81</x:v>
      </x:c>
      <x:c r="F139" s="90" t="n">
        <x:v>147</x:v>
      </x:c>
      <x:c r="G139" s="98" t="n">
        <x:v>0.0010833333333333333</x:v>
      </x:c>
      <x:c r="H139" s="98" t="n">
        <x:v>0.008966666666666666</x:v>
      </x:c>
      <x:c r="I139" s="98" t="n">
        <x:v>0.0954</x:v>
      </x:c>
      <x:c r="J139" s="90" t="str">
        <x:v>Medium</x:v>
      </x:c>
      <x:c r="K139" s="90" t="str">
        <x:v>Finance</x:v>
      </x:c>
      <x:c r="L139" s="90" t="str">
        <x:v>Global Technology / Data Analyst Summer Analyst</x:v>
      </x:c>
      <x:c r="M139" s="90" t="str">
        <x:v>Data Analytics</x:v>
      </x:c>
      <x:c r="N139" s="98" t="n">
        <x:v>0.52</x:v>
      </x:c>
      <x:c r="O139" s="90" t="str">
        <x:v>Mixed by posting: QDAP silent; Business Analyst blocks future sponsorship</x:v>
      </x:c>
      <x:c r="P139" s="98" t="n">
        <x:v>0.85</x:v>
      </x:c>
      <x:c r="Q139" s="98" t="n">
        <x:v>0</x:v>
      </x:c>
      <x:c r="R139" s="98" t="n">
        <x:v>0.775122630442237</x:v>
      </x:c>
      <x:c r="S139" s="98" t="n">
        <x:v>1</x:v>
      </x:c>
      <x:c r="T139" s="98" t="n">
        <x:v>0.76</x:v>
      </x:c>
      <x:c r="U139" s="98" t="n">
        <x:v>0.5</x:v>
      </x:c>
      <x:c r="V139" s="98" t="n">
        <x:v>0.52</x:v>
      </x:c>
      <x:c r="W139" s="98" t="n">
        <x:v>0.3490683229813665</x:v>
      </x:c>
      <x:c r="X139" s="90" t="str">
        <x:v>A</x:v>
      </x:c>
      <x:c r="Y139" s="90" t="n">
        <x:v>2</x:v>
      </x:c>
      <x:c r="Z139" s="90" t="str">
        <x:v>Three analytics internships plus SQL, Python, Tableau, forecasting and segmentation directly match the lane.</x:v>
      </x:c>
      <x:c r="AA139" s="90" t="str">
        <x:v>CPT/future-sponsorship wording must be verified; 3.31 GPA may sit below a preferred threshold; LinkedIn network evidence pending</x:v>
      </x:c>
      <x:c r="AB139" s="90" t="str">
        <x:v>2027: Quantitative Data Analytics Summer Analyst Program (undergrad, exact) | 2027: Global Technology Business Analyst (undergrad, adjacent)</x:v>
      </x:c>
      <x:c r="AC139" s="90" t="str">
        <x:v>https://careers.bankofamerica.com/en-us/students/job-detail/14419/global-technology-summer-analyst-2027-business-analyst-multiple-locations | https://careers.bankofamerica.com/en-us/students/job-detail/14420/quantitative-data-analyst-summer-analyst-program-multiple-locations</x:v>
      </x:c>
      <x:c r="AD139" s="90" t="str">
        <x:v>Jul-Sep 2026</x:v>
      </x:c>
      <x:c r="AE139" s="90" t="str">
        <x:v>https://campus.bankofamerica.com/</x:v>
      </x:c>
    </x:row>
    <x:row r="140" ht="54" customHeight="1">
      <x:c r="A140" s="90" t="n">
        <x:v>136</x:v>
      </x:c>
      <x:c r="B140" s="90" t="str">
        <x:v>Unilever</x:v>
      </x:c>
      <x:c r="C140" s="90" t="str">
        <x:v>Stretch</x:v>
      </x:c>
      <x:c r="D140" s="90" t="n">
        <x:v>124</x:v>
      </x:c>
      <x:c r="E140" s="90" t="n">
        <x:v>65</x:v>
      </x:c>
      <x:c r="F140" s="90" t="n">
        <x:v>150</x:v>
      </x:c>
      <x:c r="G140" s="98" t="n">
        <x:v>0.00965</x:v>
      </x:c>
      <x:c r="H140" s="98" t="n">
        <x:v>0.03673333333333333</x:v>
      </x:c>
      <x:c r="I140" s="98" t="n">
        <x:v>0.16535</x:v>
      </x:c>
      <x:c r="J140" s="90" t="str">
        <x:v>Low</x:v>
      </x:c>
      <x:c r="K140" s="90" t="str">
        <x:v>Consumer</x:v>
      </x:c>
      <x:c r="L140" s="90" t="str">
        <x:v>Data Science Intern</x:v>
      </x:c>
      <x:c r="M140" s="90" t="str">
        <x:v>Data Science</x:v>
      </x:c>
      <x:c r="N140" s="98" t="n">
        <x:v>0.62</x:v>
      </x:c>
      <x:c r="O140" s="90" t="str">
        <x:v>Role-specific; verify future-sponsorship wording</x:v>
      </x:c>
      <x:c r="P140" s="98" t="n">
        <x:v>0.8339223481684617</x:v>
      </x:c>
      <x:c r="Q140" s="98" t="n">
        <x:v>0.5461489877897451</x:v>
      </x:c>
      <x:c r="R140" s="98" t="n">
        <x:v>0.545</x:v>
      </x:c>
      <x:c r="S140" s="98" t="n">
        <x:v>0.5</x:v>
      </x:c>
      <x:c r="T140" s="98" t="n">
        <x:v>0.28</x:v>
      </x:c>
      <x:c r="U140" s="98" t="n">
        <x:v>0.5</x:v>
      </x:c>
      <x:c r="V140" s="98" t="n">
        <x:v>0.76</x:v>
      </x:c>
      <x:c r="W140" s="98" t="n">
        <x:v>0.826086956521739</x:v>
      </x:c>
      <x:c r="X140" s="90" t="str">
        <x:v>D</x:v>
      </x:c>
      <x:c r="Y140" s="90" t="n">
        <x:v>0</x:v>
      </x:c>
      <x:c r="Z140" s="90" t="str">
        <x:v>ALSAC data science, propensity modeling, DataRobot, Python/SQL and ML research form a clear progression.</x:v>
      </x:c>
      <x:c r="AA140" s="90" t="str">
        <x:v>CPT/future-sponsorship wording must be verified; Observed roles show graduate-degree skew; Low personal industry preference; No matching public role found in reviewed trackers; LinkedIn network evidence pending</x:v>
      </x:c>
      <x:c r="AB140" s="90" t="str">
        <x:v>No matching role found in reviewed public trackers; treated as missing evidence, not a negative.</x:v>
      </x:c>
      <x:c r="AC140" s="90" t="str"/>
      <x:c r="AD140" s="90" t="str">
        <x:v>Sep-Nov 2026</x:v>
      </x:c>
      <x:c r="AE140" s="90" t="str">
        <x:v>https://careers.unilever.com/students</x:v>
      </x:c>
    </x:row>
    <x:row r="141" ht="54" customHeight="1">
      <x:c r="A141" s="90" t="n">
        <x:v>137</x:v>
      </x:c>
      <x:c r="B141" s="90" t="str">
        <x:v>Wells Fargo</x:v>
      </x:c>
      <x:c r="C141" s="90" t="str">
        <x:v>Stretch</x:v>
      </x:c>
      <x:c r="D141" s="90" t="n">
        <x:v>124</x:v>
      </x:c>
      <x:c r="E141" s="90" t="n">
        <x:v>63</x:v>
      </x:c>
      <x:c r="F141" s="90" t="n">
        <x:v>150</x:v>
      </x:c>
      <x:c r="G141" s="98" t="n">
        <x:v>0.010483333333333334</x:v>
      </x:c>
      <x:c r="H141" s="98" t="n">
        <x:v>0.039066666666666666</x:v>
      </x:c>
      <x:c r="I141" s="98" t="n">
        <x:v>0.1691</x:v>
      </x:c>
      <x:c r="J141" s="90" t="str">
        <x:v>Low</x:v>
      </x:c>
      <x:c r="K141" s="90" t="str">
        <x:v>Finance</x:v>
      </x:c>
      <x:c r="L141" s="90" t="str">
        <x:v>Data Science / Analytics Intern</x:v>
      </x:c>
      <x:c r="M141" s="90" t="str">
        <x:v>Data Science</x:v>
      </x:c>
      <x:c r="N141" s="98" t="n">
        <x:v>0.62</x:v>
      </x:c>
      <x:c r="O141" s="90" t="str">
        <x:v>Role-specific; verify future-sponsorship wording</x:v>
      </x:c>
      <x:c r="P141" s="98" t="n">
        <x:v>0.8531731741295348</x:v>
      </x:c>
      <x:c r="Q141" s="98" t="n">
        <x:v>0.6744878275302322</x:v>
      </x:c>
      <x:c r="R141" s="98" t="n">
        <x:v>0.545</x:v>
      </x:c>
      <x:c r="S141" s="98" t="n">
        <x:v>0.5</x:v>
      </x:c>
      <x:c r="T141" s="98" t="n">
        <x:v>0.76</x:v>
      </x:c>
      <x:c r="U141" s="98" t="n">
        <x:v>0.5</x:v>
      </x:c>
      <x:c r="V141" s="98" t="n">
        <x:v>0.64</x:v>
      </x:c>
      <x:c r="W141" s="98" t="n">
        <x:v>0.324223602484472</x:v>
      </x:c>
      <x:c r="X141" s="90" t="str">
        <x:v>D</x:v>
      </x:c>
      <x:c r="Y141" s="90" t="n">
        <x:v>0</x:v>
      </x:c>
      <x:c r="Z141" s="90" t="str">
        <x:v>ALSAC data science, propensity modeling, DataRobot, Python/SQL and ML research form a clear progression.</x:v>
      </x:c>
      <x:c r="AA141" s="90" t="str">
        <x:v>CPT/future-sponsorship wording must be verified; 3.31 GPA may sit below a preferred threshold; Observed roles show graduate-degree skew; No matching public role found in reviewed trackers; LinkedIn network evidence pending</x:v>
      </x:c>
      <x:c r="AB141" s="90" t="str">
        <x:v>No matching role found in reviewed public trackers; treated as missing evidence, not a negative.</x:v>
      </x:c>
      <x:c r="AC141" s="90" t="str"/>
      <x:c r="AD141" s="90" t="str">
        <x:v>Aug-Oct 2026</x:v>
      </x:c>
      <x:c r="AE141" s="90" t="str">
        <x:v>https://www.wellsfargojobs.com/en/early-careers/</x:v>
      </x:c>
    </x:row>
    <x:row r="142" ht="54" customHeight="1">
      <x:c r="A142" s="90" t="n">
        <x:v>138</x:v>
      </x:c>
      <x:c r="B142" s="90" t="str">
        <x:v>Coca-Cola</x:v>
      </x:c>
      <x:c r="C142" s="90" t="str">
        <x:v>Stretch</x:v>
      </x:c>
      <x:c r="D142" s="90" t="n">
        <x:v>124</x:v>
      </x:c>
      <x:c r="E142" s="90" t="n">
        <x:v>64</x:v>
      </x:c>
      <x:c r="F142" s="90" t="n">
        <x:v>151</x:v>
      </x:c>
      <x:c r="G142" s="98" t="n">
        <x:v>0.008683333333333333</x:v>
      </x:c>
      <x:c r="H142" s="98" t="n">
        <x:v>0.036616666666666665</x:v>
      </x:c>
      <x:c r="I142" s="98" t="n">
        <x:v>0.16796666666666665</x:v>
      </x:c>
      <x:c r="J142" s="90" t="str">
        <x:v>Low</x:v>
      </x:c>
      <x:c r="K142" s="90" t="str">
        <x:v>Consumer</x:v>
      </x:c>
      <x:c r="L142" s="90" t="str">
        <x:v>Data Science Intern</x:v>
      </x:c>
      <x:c r="M142" s="90" t="str">
        <x:v>Data Science</x:v>
      </x:c>
      <x:c r="N142" s="98" t="n">
        <x:v>0.62</x:v>
      </x:c>
      <x:c r="O142" s="90" t="str">
        <x:v>Role-specific; verify future-sponsorship wording</x:v>
      </x:c>
      <x:c r="P142" s="98" t="n">
        <x:v>0.8339223481684617</x:v>
      </x:c>
      <x:c r="Q142" s="98" t="n">
        <x:v>0.5461489877897451</x:v>
      </x:c>
      <x:c r="R142" s="98" t="n">
        <x:v>0.545</x:v>
      </x:c>
      <x:c r="S142" s="98" t="n">
        <x:v>0.5</x:v>
      </x:c>
      <x:c r="T142" s="98" t="n">
        <x:v>0.28</x:v>
      </x:c>
      <x:c r="U142" s="98" t="n">
        <x:v>0.5</x:v>
      </x:c>
      <x:c r="V142" s="98" t="n">
        <x:v>0.76</x:v>
      </x:c>
      <x:c r="W142" s="98" t="n">
        <x:v>0.8360248447204969</x:v>
      </x:c>
      <x:c r="X142" s="90" t="str">
        <x:v>D</x:v>
      </x:c>
      <x:c r="Y142" s="90" t="n">
        <x:v>0</x:v>
      </x:c>
      <x:c r="Z142" s="90" t="str">
        <x:v>ALSAC data science, propensity modeling, DataRobot, Python/SQL and ML research form a clear progression.</x:v>
      </x:c>
      <x:c r="AA142" s="90" t="str">
        <x:v>CPT/future-sponsorship wording must be verified; Observed roles show graduate-degree skew; Low personal industry preference; No matching public role found in reviewed trackers; LinkedIn network evidence pending</x:v>
      </x:c>
      <x:c r="AB142" s="90" t="str">
        <x:v>No matching role found in reviewed public trackers; treated as missing evidence, not a negative.</x:v>
      </x:c>
      <x:c r="AC142" s="90" t="str"/>
      <x:c r="AD142" s="90" t="str">
        <x:v>Sep-Nov 2026</x:v>
      </x:c>
      <x:c r="AE142" s="90" t="str">
        <x:v>https://careers.coca-colacompany.com/students</x:v>
      </x:c>
    </x:row>
    <x:row r="143" ht="54" customHeight="1">
      <x:c r="A143" s="90" t="n">
        <x:v>139</x:v>
      </x:c>
      <x:c r="B143" s="90" t="str">
        <x:v>Fannie Mae</x:v>
      </x:c>
      <x:c r="C143" s="90" t="str">
        <x:v>Stretch</x:v>
      </x:c>
      <x:c r="D143" s="90" t="n">
        <x:v>125</x:v>
      </x:c>
      <x:c r="E143" s="90" t="n">
        <x:v>65</x:v>
      </x:c>
      <x:c r="F143" s="90" t="n">
        <x:v>151</x:v>
      </x:c>
      <x:c r="G143" s="98" t="n">
        <x:v>0.008516666666666667</x:v>
      </x:c>
      <x:c r="H143" s="98" t="n">
        <x:v>0.03645</x:v>
      </x:c>
      <x:c r="I143" s="98" t="n">
        <x:v>0.16438333333333333</x:v>
      </x:c>
      <x:c r="J143" s="90" t="str">
        <x:v>Low</x:v>
      </x:c>
      <x:c r="K143" s="90" t="str">
        <x:v>Finance</x:v>
      </x:c>
      <x:c r="L143" s="90" t="str">
        <x:v>Data Science Intern</x:v>
      </x:c>
      <x:c r="M143" s="90" t="str">
        <x:v>Data Science</x:v>
      </x:c>
      <x:c r="N143" s="98" t="n">
        <x:v>0.62</x:v>
      </x:c>
      <x:c r="O143" s="90" t="str">
        <x:v>Role-specific; verify future-sponsorship wording</x:v>
      </x:c>
      <x:c r="P143" s="98" t="n">
        <x:v>0.8321340651106073</x:v>
      </x:c>
      <x:c r="Q143" s="98" t="n">
        <x:v>0.5342271007373823</x:v>
      </x:c>
      <x:c r="R143" s="98" t="n">
        <x:v>0.545</x:v>
      </x:c>
      <x:c r="S143" s="98" t="n">
        <x:v>0.5</x:v>
      </x:c>
      <x:c r="T143" s="98" t="n">
        <x:v>0.76</x:v>
      </x:c>
      <x:c r="U143" s="98" t="n">
        <x:v>0.5</x:v>
      </x:c>
      <x:c r="V143" s="98" t="n">
        <x:v>0.64</x:v>
      </x:c>
      <x:c r="W143" s="98" t="n">
        <x:v>0.36397515527950314</x:v>
      </x:c>
      <x:c r="X143" s="90" t="str">
        <x:v>D</x:v>
      </x:c>
      <x:c r="Y143" s="90" t="n">
        <x:v>0</x:v>
      </x:c>
      <x:c r="Z143" s="90" t="str">
        <x:v>ALSAC data science, propensity modeling, DataRobot, Python/SQL and ML research form a clear progression.</x:v>
      </x:c>
      <x:c r="AA143" s="90" t="str">
        <x:v>CPT/future-sponsorship wording must be verified; 3.31 GPA may sit below a preferred threshold; Observed roles show graduate-degree skew; No matching public role found in reviewed trackers; LinkedIn network evidence pending</x:v>
      </x:c>
      <x:c r="AB143" s="90" t="str">
        <x:v>No matching role found in reviewed public trackers; treated as missing evidence, not a negative.</x:v>
      </x:c>
      <x:c r="AC143" s="90" t="str"/>
      <x:c r="AD143" s="90" t="str">
        <x:v>Sep-Nov 2026</x:v>
      </x:c>
      <x:c r="AE143" s="90" t="str">
        <x:v>https://careers.fanniemae.com/students</x:v>
      </x:c>
    </x:row>
    <x:row r="144" ht="54" customHeight="1">
      <x:c r="A144" s="90" t="n">
        <x:v>140</x:v>
      </x:c>
      <x:c r="B144" s="90" t="str">
        <x:v>Freddie Mac</x:v>
      </x:c>
      <x:c r="C144" s="90" t="str">
        <x:v>Stretch</x:v>
      </x:c>
      <x:c r="D144" s="90" t="n">
        <x:v>125</x:v>
      </x:c>
      <x:c r="E144" s="90" t="n">
        <x:v>65</x:v>
      </x:c>
      <x:c r="F144" s="90" t="n">
        <x:v>151</x:v>
      </x:c>
      <x:c r="G144" s="98" t="n">
        <x:v>0.009366666666666667</x:v>
      </x:c>
      <x:c r="H144" s="98" t="n">
        <x:v>0.037366666666666666</x:v>
      </x:c>
      <x:c r="I144" s="98" t="n">
        <x:v>0.16323333333333334</x:v>
      </x:c>
      <x:c r="J144" s="90" t="str">
        <x:v>Low</x:v>
      </x:c>
      <x:c r="K144" s="90" t="str">
        <x:v>Finance</x:v>
      </x:c>
      <x:c r="L144" s="90" t="str">
        <x:v>Data Science / Quant Intern</x:v>
      </x:c>
      <x:c r="M144" s="90" t="str">
        <x:v>Data Science</x:v>
      </x:c>
      <x:c r="N144" s="98" t="n">
        <x:v>0.62</x:v>
      </x:c>
      <x:c r="O144" s="90" t="str">
        <x:v>Role-specific; verify future-sponsorship wording</x:v>
      </x:c>
      <x:c r="P144" s="98" t="n">
        <x:v>0.7988815256888547</x:v>
      </x:c>
      <x:c r="Q144" s="98" t="n">
        <x:v>0.312543504592365</x:v>
      </x:c>
      <x:c r="R144" s="98" t="n">
        <x:v>0.545</x:v>
      </x:c>
      <x:c r="S144" s="98" t="n">
        <x:v>0.5</x:v>
      </x:c>
      <x:c r="T144" s="98" t="n">
        <x:v>0.76</x:v>
      </x:c>
      <x:c r="U144" s="98" t="n">
        <x:v>0.5</x:v>
      </x:c>
      <x:c r="V144" s="98" t="n">
        <x:v>0.64</x:v>
      </x:c>
      <x:c r="W144" s="98" t="n">
        <x:v>0.44844720496894414</x:v>
      </x:c>
      <x:c r="X144" s="90" t="str">
        <x:v>D</x:v>
      </x:c>
      <x:c r="Y144" s="90" t="n">
        <x:v>0</x:v>
      </x:c>
      <x:c r="Z144" s="90" t="str">
        <x:v>ALSAC data science, propensity modeling, DataRobot, Python/SQL and ML research form a clear progression.</x:v>
      </x:c>
      <x:c r="AA144" s="90" t="str">
        <x:v>CPT/future-sponsorship wording must be verified; 3.31 GPA may sit below a preferred threshold; Observed roles show graduate-degree skew; No matching public role found in reviewed trackers; LinkedIn network evidence pending</x:v>
      </x:c>
      <x:c r="AB144" s="90" t="str">
        <x:v>No matching role found in reviewed public trackers; treated as missing evidence, not a negative.</x:v>
      </x:c>
      <x:c r="AC144" s="90" t="str"/>
      <x:c r="AD144" s="90" t="str">
        <x:v>Sep-Nov 2026</x:v>
      </x:c>
      <x:c r="AE144" s="90" t="str">
        <x:v>https://careers.freddiemac.com/us/en/students</x:v>
      </x:c>
    </x:row>
    <x:row r="145" ht="54" customHeight="1">
      <x:c r="A145" s="90" t="n">
        <x:v>141</x:v>
      </x:c>
      <x:c r="B145" s="90" t="str">
        <x:v>Mars</x:v>
      </x:c>
      <x:c r="C145" s="90" t="str">
        <x:v>Stretch</x:v>
      </x:c>
      <x:c r="D145" s="90" t="n">
        <x:v>125</x:v>
      </x:c>
      <x:c r="E145" s="90" t="n">
        <x:v>66</x:v>
      </x:c>
      <x:c r="F145" s="90" t="n">
        <x:v>151</x:v>
      </x:c>
      <x:c r="G145" s="98" t="n">
        <x:v>0.0083</x:v>
      </x:c>
      <x:c r="H145" s="98" t="n">
        <x:v>0.03575</x:v>
      </x:c>
      <x:c r="I145" s="98" t="n">
        <x:v>0.16136666666666666</x:v>
      </x:c>
      <x:c r="J145" s="90" t="str">
        <x:v>Low</x:v>
      </x:c>
      <x:c r="K145" s="90" t="str">
        <x:v>Consumer</x:v>
      </x:c>
      <x:c r="L145" s="90" t="str">
        <x:v>Data Science Intern</x:v>
      </x:c>
      <x:c r="M145" s="90" t="str">
        <x:v>Data Science</x:v>
      </x:c>
      <x:c r="N145" s="98" t="n">
        <x:v>0.62</x:v>
      </x:c>
      <x:c r="O145" s="90" t="str">
        <x:v>Role-specific; verify future-sponsorship wording</x:v>
      </x:c>
      <x:c r="P145" s="98" t="n">
        <x:v>0.8339223481684617</x:v>
      </x:c>
      <x:c r="Q145" s="98" t="n">
        <x:v>0.5461489877897451</x:v>
      </x:c>
      <x:c r="R145" s="98" t="n">
        <x:v>0.545</x:v>
      </x:c>
      <x:c r="S145" s="98" t="n">
        <x:v>0.5</x:v>
      </x:c>
      <x:c r="T145" s="98" t="n">
        <x:v>0.28</x:v>
      </x:c>
      <x:c r="U145" s="98" t="n">
        <x:v>0.5</x:v>
      </x:c>
      <x:c r="V145" s="98" t="n">
        <x:v>0.76</x:v>
      </x:c>
      <x:c r="W145" s="98" t="n">
        <x:v>0.8111801242236025</x:v>
      </x:c>
      <x:c r="X145" s="90" t="str">
        <x:v>D</x:v>
      </x:c>
      <x:c r="Y145" s="90" t="n">
        <x:v>0</x:v>
      </x:c>
      <x:c r="Z145" s="90" t="str">
        <x:v>ALSAC data science, propensity modeling, DataRobot, Python/SQL and ML research form a clear progression.</x:v>
      </x:c>
      <x:c r="AA145" s="90" t="str">
        <x:v>CPT/future-sponsorship wording must be verified; Observed roles show graduate-degree skew; Low personal industry preference; No matching public role found in reviewed trackers; LinkedIn network evidence pending</x:v>
      </x:c>
      <x:c r="AB145" s="90" t="str">
        <x:v>No matching role found in reviewed public trackers; treated as missing evidence, not a negative.</x:v>
      </x:c>
      <x:c r="AC145" s="90" t="str"/>
      <x:c r="AD145" s="90" t="str">
        <x:v>Oct-Dec 2026</x:v>
      </x:c>
      <x:c r="AE145" s="90" t="str">
        <x:v>https://careers.mars.com/us/en/students</x:v>
      </x:c>
    </x:row>
    <x:row r="146" ht="54" customHeight="1">
      <x:c r="A146" s="90" t="n">
        <x:v>142</x:v>
      </x:c>
      <x:c r="B146" s="90" t="str">
        <x:v>HSBC</x:v>
      </x:c>
      <x:c r="C146" s="90" t="str">
        <x:v>Reach</x:v>
      </x:c>
      <x:c r="D146" s="90" t="n">
        <x:v>126</x:v>
      </x:c>
      <x:c r="E146" s="90" t="n">
        <x:v>67</x:v>
      </x:c>
      <x:c r="F146" s="90" t="n">
        <x:v>151</x:v>
      </x:c>
      <x:c r="G146" s="98" t="n">
        <x:v>0.007933333333333334</x:v>
      </x:c>
      <x:c r="H146" s="98" t="n">
        <x:v>0.03361666666666667</x:v>
      </x:c>
      <x:c r="I146" s="98" t="n">
        <x:v>0.15115</x:v>
      </x:c>
      <x:c r="J146" s="90" t="str">
        <x:v>Low</x:v>
      </x:c>
      <x:c r="K146" s="90" t="str">
        <x:v>Finance</x:v>
      </x:c>
      <x:c r="L146" s="90" t="str">
        <x:v>Data / Tech Summer Analyst</x:v>
      </x:c>
      <x:c r="M146" s="90" t="str">
        <x:v>Business/Strategy Analytics</x:v>
      </x:c>
      <x:c r="N146" s="98" t="n">
        <x:v>0.62</x:v>
      </x:c>
      <x:c r="O146" s="90" t="str">
        <x:v>Role-specific; verify future-sponsorship wording</x:v>
      </x:c>
      <x:c r="P146" s="98" t="n">
        <x:v>0.8031599586658544</x:v>
      </x:c>
      <x:c r="Q146" s="98" t="n">
        <x:v>0.3677330577723628</x:v>
      </x:c>
      <x:c r="R146" s="98" t="n">
        <x:v>0.635</x:v>
      </x:c>
      <x:c r="S146" s="98" t="n">
        <x:v>0.5</x:v>
      </x:c>
      <x:c r="T146" s="98" t="n">
        <x:v>0.76</x:v>
      </x:c>
      <x:c r="U146" s="98" t="n">
        <x:v>0.5</x:v>
      </x:c>
      <x:c r="V146" s="98" t="n">
        <x:v>0.64</x:v>
      </x:c>
      <x:c r="W146" s="98" t="n">
        <x:v>0.29440993788819875</x:v>
      </x:c>
      <x:c r="X146" s="90" t="str">
        <x:v>D</x:v>
      </x:c>
      <x:c r="Y146" s="90" t="n">
        <x:v>0</x:v>
      </x:c>
      <x:c r="Z146" s="90" t="str">
        <x:v>Economics, consumer analytics and Student Leader communication support analytical business decisions.</x:v>
      </x:c>
      <x:c r="AA146" s="90" t="str">
        <x:v>CPT/future-sponsorship wording must be verified; 3.31 GPA may sit below a preferred threshold; No matching public role found in reviewed trackers; LinkedIn network evidence pending</x:v>
      </x:c>
      <x:c r="AB146" s="90" t="str">
        <x:v>No matching role found in reviewed public trackers; treated as missing evidence, not a negative.</x:v>
      </x:c>
      <x:c r="AC146" s="90" t="str"/>
      <x:c r="AD146" s="90" t="str">
        <x:v>Sep-Nov 2026</x:v>
      </x:c>
      <x:c r="AE146" s="90" t="str">
        <x:v>https://www.hsbc.com/careers/students-and-graduates</x:v>
      </x:c>
    </x:row>
    <x:row r="147" ht="54" customHeight="1">
      <x:c r="A147" s="90" t="n">
        <x:v>143</x:v>
      </x:c>
      <x:c r="B147" s="90" t="str">
        <x:v>Kearney</x:v>
      </x:c>
      <x:c r="C147" s="90" t="str">
        <x:v>Reach</x:v>
      </x:c>
      <x:c r="D147" s="90" t="n">
        <x:v>126</x:v>
      </x:c>
      <x:c r="E147" s="90" t="n">
        <x:v>67</x:v>
      </x:c>
      <x:c r="F147" s="90" t="n">
        <x:v>151</x:v>
      </x:c>
      <x:c r="G147" s="98" t="n">
        <x:v>0.008116666666666666</x:v>
      </x:c>
      <x:c r="H147" s="98" t="n">
        <x:v>0.03385</x:v>
      </x:c>
      <x:c r="I147" s="98" t="n">
        <x:v>0.15423333333333333</x:v>
      </x:c>
      <x:c r="J147" s="90" t="str">
        <x:v>Low</x:v>
      </x:c>
      <x:c r="K147" s="90" t="str">
        <x:v>Consulting</x:v>
      </x:c>
      <x:c r="L147" s="90" t="str">
        <x:v>Business Analyst Intern</x:v>
      </x:c>
      <x:c r="M147" s="90" t="str">
        <x:v>General Consulting</x:v>
      </x:c>
      <x:c r="N147" s="98" t="n">
        <x:v>0.62</x:v>
      </x:c>
      <x:c r="O147" s="90" t="str">
        <x:v>Role-specific; verify future-sponsorship wording</x:v>
      </x:c>
      <x:c r="P147" s="98" t="n">
        <x:v>0.7477959980794615</x:v>
      </x:c>
      <x:c r="Q147" s="98" t="n">
        <x:v>0.26530665386307695</x:v>
      </x:c>
      <x:c r="R147" s="98" t="n">
        <x:v>0.599</x:v>
      </x:c>
      <x:c r="S147" s="98" t="n">
        <x:v>0.5</x:v>
      </x:c>
      <x:c r="T147" s="98" t="n">
        <x:v>0.8</x:v>
      </x:c>
      <x:c r="U147" s="98" t="n">
        <x:v>0.5</x:v>
      </x:c>
      <x:c r="V147" s="98" t="n">
        <x:v>0.6799999999999999</x:v>
      </x:c>
      <x:c r="W147" s="98" t="n">
        <x:v>0.43850931677018634</x:v>
      </x:c>
      <x:c r="X147" s="90" t="str">
        <x:v>D</x:v>
      </x:c>
      <x:c r="Y147" s="90" t="n">
        <x:v>0</x:v>
      </x:c>
      <x:c r="Z147" s="90" t="str">
        <x:v>Economics, research, analytics and leadership support structured problem solving and client communication.</x:v>
      </x:c>
      <x:c r="AA147" s="90" t="str">
        <x:v>CPT/future-sponsorship wording must be verified; 3.31 GPA may sit below a preferred threshold; No matching public role found in reviewed trackers; LinkedIn network evidence pending</x:v>
      </x:c>
      <x:c r="AB147" s="90" t="str">
        <x:v>No matching role found in reviewed public trackers; treated as missing evidence, not a negative.</x:v>
      </x:c>
      <x:c r="AC147" s="90" t="str"/>
      <x:c r="AD147" s="90" t="str">
        <x:v>Sep-Oct 2026</x:v>
      </x:c>
      <x:c r="AE147" s="90" t="str">
        <x:v>https://www.kearney.com/careers</x:v>
      </x:c>
    </x:row>
    <x:row r="148" ht="54" customHeight="1">
      <x:c r="A148" s="90" t="n">
        <x:v>144</x:v>
      </x:c>
      <x:c r="B148" s="90" t="str">
        <x:v>Booz Allen Hamilton</x:v>
      </x:c>
      <x:c r="C148" s="90" t="str">
        <x:v>Reach</x:v>
      </x:c>
      <x:c r="D148" s="90" t="n">
        <x:v>127</x:v>
      </x:c>
      <x:c r="E148" s="90" t="n">
        <x:v>84</x:v>
      </x:c>
      <x:c r="F148" s="90" t="n">
        <x:v>148</x:v>
      </x:c>
      <x:c r="G148" s="98" t="n">
        <x:v>0.0007833333333333334</x:v>
      </x:c>
      <x:c r="H148" s="98" t="n">
        <x:v>0.008283333333333334</x:v>
      </x:c>
      <x:c r="I148" s="98" t="n">
        <x:v>0.08363333333333334</x:v>
      </x:c>
      <x:c r="J148" s="90" t="str">
        <x:v>Medium</x:v>
      </x:c>
      <x:c r="K148" s="90" t="str">
        <x:v>Consulting (VT pipeline)</x:v>
      </x:c>
      <x:c r="L148" s="90" t="str">
        <x:v>Data Science Intern</x:v>
      </x:c>
      <x:c r="M148" s="90" t="str">
        <x:v>Analytics Consulting</x:v>
      </x:c>
      <x:c r="N148" s="98" t="n">
        <x:v>0.44000000000000006</x:v>
      </x:c>
      <x:c r="O148" s="90" t="str">
        <x:v>Low-priority work-authorization outlook</x:v>
      </x:c>
      <x:c r="P148" s="98" t="n">
        <x:v>0.8722992592943608</x:v>
      </x:c>
      <x:c r="Q148" s="98" t="n">
        <x:v>0.40199506196240536</x:v>
      </x:c>
      <x:c r="R148" s="98" t="n">
        <x:v>0.635</x:v>
      </x:c>
      <x:c r="S148" s="98" t="n">
        <x:v>0.5</x:v>
      </x:c>
      <x:c r="T148" s="98" t="n">
        <x:v>0.8</x:v>
      </x:c>
      <x:c r="U148" s="98" t="n">
        <x:v>0.78</x:v>
      </x:c>
      <x:c r="V148" s="98" t="n">
        <x:v>0.6799999999999999</x:v>
      </x:c>
      <x:c r="W148" s="98" t="n">
        <x:v>0.35403726708074534</x:v>
      </x:c>
      <x:c r="X148" s="90" t="str">
        <x:v>D</x:v>
      </x:c>
      <x:c r="Y148" s="90" t="n">
        <x:v>0</x:v>
      </x:c>
      <x:c r="Z148" s="90" t="str">
        <x:v>Technical analytics plus economics, research and residential leadership support client-facing analytical work. The Virginia/VT pipeline adds practical recruiting access.</x:v>
      </x:c>
      <x:c r="AA148" s="90" t="str">
        <x:v>High work-authorization risk; 3.31 GPA may sit below a preferred threshold; No matching public role found in reviewed trackers</x:v>
      </x:c>
      <x:c r="AB148" s="90" t="str">
        <x:v>No matching role found in reviewed public trackers; treated as missing evidence, not a negative.</x:v>
      </x:c>
      <x:c r="AC148" s="90" t="str"/>
      <x:c r="AD148" s="90" t="str">
        <x:v>Sep-Nov 2026</x:v>
      </x:c>
      <x:c r="AE148" s="90" t="str">
        <x:v>https://careers.boozallen.com/students</x:v>
      </x:c>
    </x:row>
    <x:row r="149" ht="54" customHeight="1">
      <x:c r="A149" s="90" t="n">
        <x:v>145</x:v>
      </x:c>
      <x:c r="B149" s="90" t="str">
        <x:v>PwC</x:v>
      </x:c>
      <x:c r="C149" s="90" t="str">
        <x:v>Reach</x:v>
      </x:c>
      <x:c r="D149" s="90" t="n">
        <x:v>127</x:v>
      </x:c>
      <x:c r="E149" s="90" t="n">
        <x:v>84</x:v>
      </x:c>
      <x:c r="F149" s="90" t="n">
        <x:v>148</x:v>
      </x:c>
      <x:c r="G149" s="98" t="n">
        <x:v>0.0011833333333333333</x:v>
      </x:c>
      <x:c r="H149" s="98" t="n">
        <x:v>0.008883333333333333</x:v>
      </x:c>
      <x:c r="I149" s="98" t="n">
        <x:v>0.08598333333333333</x:v>
      </x:c>
      <x:c r="J149" s="90" t="str">
        <x:v>Medium</x:v>
      </x:c>
      <x:c r="K149" s="90" t="str">
        <x:v>Consulting</x:v>
      </x:c>
      <x:c r="L149" s="90" t="str">
        <x:v>Data &amp; Analytics Intern</x:v>
      </x:c>
      <x:c r="M149" s="90" t="str">
        <x:v>Analytics Consulting</x:v>
      </x:c>
      <x:c r="N149" s="98" t="n">
        <x:v>0.5599999999999999</x:v>
      </x:c>
      <x:c r="O149" s="90" t="str">
        <x:v>Role-specific; verify future-sponsorship wording</x:v>
      </x:c>
      <x:c r="P149" s="98" t="n">
        <x:v>0.8170736265877783</x:v>
      </x:c>
      <x:c r="Q149" s="98" t="n">
        <x:v>0.1671575105851882</x:v>
      </x:c>
      <x:c r="R149" s="98" t="n">
        <x:v>0.6331509291233981</x:v>
      </x:c>
      <x:c r="S149" s="98" t="n">
        <x:v>0.75</x:v>
      </x:c>
      <x:c r="T149" s="98" t="n">
        <x:v>0.8</x:v>
      </x:c>
      <x:c r="U149" s="98" t="n">
        <x:v>0.5</x:v>
      </x:c>
      <x:c r="V149" s="98" t="n">
        <x:v>0.6799999999999999</x:v>
      </x:c>
      <x:c r="W149" s="98" t="n">
        <x:v>0.35900621118012427</x:v>
      </x:c>
      <x:c r="X149" s="90" t="str">
        <x:v>C</x:v>
      </x:c>
      <x:c r="Y149" s="90" t="n">
        <x:v>1</x:v>
      </x:c>
      <x:c r="Z149" s="90" t="str">
        <x:v>Technical analytics plus economics, research and residential leadership support client-facing analytical work.</x:v>
      </x:c>
      <x:c r="AA149" s="90" t="str">
        <x:v>CPT/future-sponsorship wording must be verified; 3.31 GPA may sit below a preferred threshold; LinkedIn network evidence pending</x:v>
      </x:c>
      <x:c r="AB149" s="90" t="str">
        <x:v>2026: Assurance Artificial Intelligence Technology Intern (undergrad_unknown, adjacent)</x:v>
      </x:c>
      <x:c r="AC149" s="90" t="str">
        <x:v>https://raw.githubusercontent.com/SimplifyJobs/Summer2026-Internships/refs/heads/dev/README-Inactive.md</x:v>
      </x:c>
      <x:c r="AD149" s="90" t="str">
        <x:v>Opens Jul-Sep 2026, rolling by office.</x:v>
      </x:c>
      <x:c r="AE149" s="90" t="str">
        <x:v>UPDATED: Internship itself needs no sponsorship (CPT) and many postings don't ask the future question. VT is a real Big 4 feeder. Route: VT career fair + firm events + Consulting Group at VT, answer app questions honestly, know that the harder wall is FT conversion - by which point your OPT plan buys 3 years.</x:v>
      </x:c>
    </x:row>
    <x:row r="150" ht="54" customHeight="1">
      <x:c r="A150" s="90" t="n">
        <x:v>146</x:v>
      </x:c>
      <x:c r="B150" s="90" t="str">
        <x:v>State Street</x:v>
      </x:c>
      <x:c r="C150" s="90" t="str">
        <x:v>Reach</x:v>
      </x:c>
      <x:c r="D150" s="90" t="n">
        <x:v>128</x:v>
      </x:c>
      <x:c r="E150" s="90" t="n">
        <x:v>72</x:v>
      </x:c>
      <x:c r="F150" s="90" t="n">
        <x:v>151</x:v>
      </x:c>
      <x:c r="G150" s="98" t="n">
        <x:v>0.004666666666666667</x:v>
      </x:c>
      <x:c r="H150" s="98" t="n">
        <x:v>0.024366666666666665</x:v>
      </x:c>
      <x:c r="I150" s="98" t="n">
        <x:v>0.13396666666666668</x:v>
      </x:c>
      <x:c r="J150" s="90" t="str">
        <x:v>Low</x:v>
      </x:c>
      <x:c r="K150" s="90" t="str">
        <x:v>Finance</x:v>
      </x:c>
      <x:c r="L150" s="90" t="str">
        <x:v>Data / Quant Intern</x:v>
      </x:c>
      <x:c r="M150" s="90" t="str">
        <x:v>Data/Analytics</x:v>
      </x:c>
      <x:c r="N150" s="98" t="n">
        <x:v>0.62</x:v>
      </x:c>
      <x:c r="O150" s="90" t="str">
        <x:v>Role-specific; verify future-sponsorship wording</x:v>
      </x:c>
      <x:c r="P150" s="98" t="n">
        <x:v>0.7350000000000001</x:v>
      </x:c>
      <x:c r="Q150" s="98" t="n">
        <x:v>0</x:v>
      </x:c>
      <x:c r="R150" s="98" t="n">
        <x:v>0.7575213689137908</x:v>
      </x:c>
      <x:c r="S150" s="98" t="n">
        <x:v>0.7499999999999999</x:v>
      </x:c>
      <x:c r="T150" s="98" t="n">
        <x:v>0.76</x:v>
      </x:c>
      <x:c r="U150" s="98" t="n">
        <x:v>0.5</x:v>
      </x:c>
      <x:c r="V150" s="98" t="n">
        <x:v>0.64</x:v>
      </x:c>
      <x:c r="W150" s="98" t="n">
        <x:v>0.30434782608695654</x:v>
      </x:c>
      <x:c r="X150" s="90" t="str">
        <x:v>B</x:v>
      </x:c>
      <x:c r="Y150" s="90" t="n">
        <x:v>3</x:v>
      </x:c>
      <x:c r="Z150" s="90" t="str">
        <x:v>ALSAC, Mankind and Kajaria provide a three-internship analytics progression before junior year.</x:v>
      </x:c>
      <x:c r="AA150" s="90" t="str">
        <x:v>CPT/future-sponsorship wording must be verified; 3.31 GPA may sit below a preferred threshold; LinkedIn network evidence pending</x:v>
      </x:c>
      <x:c r="AB150" s="90" t="str">
        <x:v>2026: Product Analyst Intern (undergrad_unknown, adjacent) | 2026: Enterprise Risk Management – Credit Risk Analytics Internship (undergrad_unknown, exact) | 2026: Integrated Audit Data Analyst (undergrad_unknown, exact)</x:v>
      </x:c>
      <x:c r="AC150" s="90" t="str">
        <x:v>https://raw.githubusercontent.com/SimplifyJobs/Summer2026-Internships/refs/heads/dev/README-Inactive.md</x:v>
      </x:c>
      <x:c r="AD150" s="90" t="str">
        <x:v>Sep-Nov 2026</x:v>
      </x:c>
      <x:c r="AE150" s="90" t="str">
        <x:v>https://careers.statestreet.com/students</x:v>
      </x:c>
    </x:row>
    <x:row r="151" ht="54" customHeight="1">
      <x:c r="A151" s="90" t="n">
        <x:v>147</x:v>
      </x:c>
      <x:c r="B151" s="90" t="str">
        <x:v>BNP Paribas</x:v>
      </x:c>
      <x:c r="C151" s="90" t="str">
        <x:v>Reach</x:v>
      </x:c>
      <x:c r="D151" s="90" t="n">
        <x:v>128</x:v>
      </x:c>
      <x:c r="E151" s="90" t="n">
        <x:v>70</x:v>
      </x:c>
      <x:c r="F151" s="90" t="n">
        <x:v>152</x:v>
      </x:c>
      <x:c r="G151" s="98" t="n">
        <x:v>0.006716666666666667</x:v>
      </x:c>
      <x:c r="H151" s="98" t="n">
        <x:v>0.028416666666666666</x:v>
      </x:c>
      <x:c r="I151" s="98" t="n">
        <x:v>0.13861666666666667</x:v>
      </x:c>
      <x:c r="J151" s="90" t="str">
        <x:v>Low</x:v>
      </x:c>
      <x:c r="K151" s="90" t="str">
        <x:v>Finance</x:v>
      </x:c>
      <x:c r="L151" s="90" t="str">
        <x:v>Data / Quant Summer Analyst</x:v>
      </x:c>
      <x:c r="M151" s="90" t="str">
        <x:v>Business/Strategy Analytics</x:v>
      </x:c>
      <x:c r="N151" s="98" t="n">
        <x:v>0.62</x:v>
      </x:c>
      <x:c r="O151" s="90" t="str">
        <x:v>Role-specific; verify future-sponsorship wording</x:v>
      </x:c>
      <x:c r="P151" s="98" t="n">
        <x:v>0.7881153198311313</x:v>
      </x:c>
      <x:c r="Q151" s="98" t="n">
        <x:v>0.26743546554087455</x:v>
      </x:c>
      <x:c r="R151" s="98" t="n">
        <x:v>0.635</x:v>
      </x:c>
      <x:c r="S151" s="98" t="n">
        <x:v>0.5</x:v>
      </x:c>
      <x:c r="T151" s="98" t="n">
        <x:v>0.76</x:v>
      </x:c>
      <x:c r="U151" s="98" t="n">
        <x:v>0.5</x:v>
      </x:c>
      <x:c r="V151" s="98" t="n">
        <x:v>0.64</x:v>
      </x:c>
      <x:c r="W151" s="98" t="n">
        <x:v>0.29937888198757767</x:v>
      </x:c>
      <x:c r="X151" s="90" t="str">
        <x:v>D</x:v>
      </x:c>
      <x:c r="Y151" s="90" t="n">
        <x:v>0</x:v>
      </x:c>
      <x:c r="Z151" s="90" t="str">
        <x:v>Economics, consumer analytics and Student Leader communication support analytical business decisions.</x:v>
      </x:c>
      <x:c r="AA151" s="90" t="str">
        <x:v>CPT/future-sponsorship wording must be verified; 3.31 GPA may sit below a preferred threshold; No matching public role found in reviewed trackers; LinkedIn network evidence pending</x:v>
      </x:c>
      <x:c r="AB151" s="90" t="str">
        <x:v>No matching role found in reviewed public trackers; treated as missing evidence, not a negative.</x:v>
      </x:c>
      <x:c r="AC151" s="90" t="str"/>
      <x:c r="AD151" s="90" t="str">
        <x:v>Sep-Nov 2026</x:v>
      </x:c>
      <x:c r="AE151" s="90" t="str">
        <x:v>https://group.bnpparibas/en/careers</x:v>
      </x:c>
    </x:row>
    <x:row r="152" ht="54" customHeight="1">
      <x:c r="A152" s="90" t="n">
        <x:v>148</x:v>
      </x:c>
      <x:c r="B152" s="90" t="str">
        <x:v>Humana</x:v>
      </x:c>
      <x:c r="C152" s="90" t="str">
        <x:v>Reach</x:v>
      </x:c>
      <x:c r="D152" s="90" t="n">
        <x:v>128</x:v>
      </x:c>
      <x:c r="E152" s="90" t="n">
        <x:v>71</x:v>
      </x:c>
      <x:c r="F152" s="90" t="n">
        <x:v>152</x:v>
      </x:c>
      <x:c r="G152" s="98" t="n">
        <x:v>0.006483333333333333</x:v>
      </x:c>
      <x:c r="H152" s="98" t="n">
        <x:v>0.027583333333333335</x:v>
      </x:c>
      <x:c r="I152" s="98" t="n">
        <x:v>0.13738333333333333</x:v>
      </x:c>
      <x:c r="J152" s="90" t="str">
        <x:v>Low</x:v>
      </x:c>
      <x:c r="K152" s="90" t="str">
        <x:v>Healthcare</x:v>
      </x:c>
      <x:c r="L152" s="90" t="str">
        <x:v>Data Science Intern</x:v>
      </x:c>
      <x:c r="M152" s="90" t="str">
        <x:v>Data Science</x:v>
      </x:c>
      <x:c r="N152" s="98" t="n">
        <x:v>0.62</x:v>
      </x:c>
      <x:c r="O152" s="90" t="str">
        <x:v>Role-specific; verify future-sponsorship wording</x:v>
      </x:c>
      <x:c r="P152" s="98" t="n">
        <x:v>0.9069999940797153</x:v>
      </x:c>
      <x:c r="Q152" s="98" t="n">
        <x:v>0.9999999605314358</x:v>
      </x:c>
      <x:c r="R152" s="98" t="n">
        <x:v>0.545</x:v>
      </x:c>
      <x:c r="S152" s="98" t="n">
        <x:v>0.5</x:v>
      </x:c>
      <x:c r="T152" s="98" t="n">
        <x:v>0.28</x:v>
      </x:c>
      <x:c r="U152" s="98" t="n">
        <x:v>0.5</x:v>
      </x:c>
      <x:c r="V152" s="98" t="n">
        <x:v>0.76</x:v>
      </x:c>
      <x:c r="W152" s="98" t="n">
        <x:v>0.5527950310559007</x:v>
      </x:c>
      <x:c r="X152" s="90" t="str">
        <x:v>D</x:v>
      </x:c>
      <x:c r="Y152" s="90" t="n">
        <x:v>0</x:v>
      </x:c>
      <x:c r="Z152" s="90" t="str">
        <x:v>ALSAC data science, propensity modeling, DataRobot, Python/SQL and ML research form a clear progression.</x:v>
      </x:c>
      <x:c r="AA152" s="90" t="str">
        <x:v>CPT/future-sponsorship wording must be verified; Observed roles show graduate-degree skew; Low personal industry preference; No matching public role found in reviewed trackers; LinkedIn network evidence pending</x:v>
      </x:c>
      <x:c r="AB152" s="90" t="str">
        <x:v>No matching role found in reviewed public trackers; treated as missing evidence, not a negative.</x:v>
      </x:c>
      <x:c r="AC152" s="90" t="str"/>
      <x:c r="AD152" s="90" t="str">
        <x:v>Sep-Nov 2026</x:v>
      </x:c>
      <x:c r="AE152" s="90" t="str">
        <x:v>https://careers.humana.com/students/</x:v>
      </x:c>
    </x:row>
    <x:row r="153" ht="54" customHeight="1">
      <x:c r="A153" s="90" t="n">
        <x:v>149</x:v>
      </x:c>
      <x:c r="B153" s="90" t="str">
        <x:v>UnitedHealth Group / Optum</x:v>
      </x:c>
      <x:c r="C153" s="90" t="str">
        <x:v>Reach</x:v>
      </x:c>
      <x:c r="D153" s="90" t="n">
        <x:v>128</x:v>
      </x:c>
      <x:c r="E153" s="90" t="n">
        <x:v>70</x:v>
      </x:c>
      <x:c r="F153" s="90" t="n">
        <x:v>152</x:v>
      </x:c>
      <x:c r="G153" s="98" t="n">
        <x:v>0.00665</x:v>
      </x:c>
      <x:c r="H153" s="98" t="n">
        <x:v>0.028933333333333332</x:v>
      </x:c>
      <x:c r="I153" s="98" t="n">
        <x:v>0.13925</x:v>
      </x:c>
      <x:c r="J153" s="90" t="str">
        <x:v>Low</x:v>
      </x:c>
      <x:c r="K153" s="90" t="str">
        <x:v>Healthcare</x:v>
      </x:c>
      <x:c r="L153" s="90" t="str">
        <x:v>Data Science Intern</x:v>
      </x:c>
      <x:c r="M153" s="90" t="str">
        <x:v>Data Science</x:v>
      </x:c>
      <x:c r="N153" s="98" t="n">
        <x:v>0.62</x:v>
      </x:c>
      <x:c r="O153" s="90" t="str">
        <x:v>Role-specific; verify future-sponsorship wording</x:v>
      </x:c>
      <x:c r="P153" s="98" t="n">
        <x:v>0.9069999940797153</x:v>
      </x:c>
      <x:c r="Q153" s="98" t="n">
        <x:v>0.9999999605314358</x:v>
      </x:c>
      <x:c r="R153" s="98" t="n">
        <x:v>0.545</x:v>
      </x:c>
      <x:c r="S153" s="98" t="n">
        <x:v>0.5</x:v>
      </x:c>
      <x:c r="T153" s="98" t="n">
        <x:v>0.28</x:v>
      </x:c>
      <x:c r="U153" s="98" t="n">
        <x:v>0.5</x:v>
      </x:c>
      <x:c r="V153" s="98" t="n">
        <x:v>0.76</x:v>
      </x:c>
      <x:c r="W153" s="98" t="n">
        <x:v>0.5577639751552794</x:v>
      </x:c>
      <x:c r="X153" s="90" t="str">
        <x:v>D</x:v>
      </x:c>
      <x:c r="Y153" s="90" t="n">
        <x:v>0</x:v>
      </x:c>
      <x:c r="Z153" s="90" t="str">
        <x:v>ALSAC data science, propensity modeling, DataRobot, Python/SQL and ML research form a clear progression.</x:v>
      </x:c>
      <x:c r="AA153" s="90" t="str">
        <x:v>CPT/future-sponsorship wording must be verified; Observed roles show graduate-degree skew; Low personal industry preference; No matching public role found in reviewed trackers; LinkedIn network evidence pending</x:v>
      </x:c>
      <x:c r="AB153" s="90" t="str">
        <x:v>No matching role found in reviewed public trackers; treated as missing evidence, not a negative.</x:v>
      </x:c>
      <x:c r="AC153" s="90" t="str"/>
      <x:c r="AD153" s="90" t="str">
        <x:v>Sep-Nov 2026</x:v>
      </x:c>
      <x:c r="AE153" s="90" t="str">
        <x:v>https://careers.unitedhealthgroup.com/early-careers/</x:v>
      </x:c>
    </x:row>
    <x:row r="154" ht="54" customHeight="1">
      <x:c r="A154" s="90" t="n">
        <x:v>150</x:v>
      </x:c>
      <x:c r="B154" s="90" t="str">
        <x:v>RBC Capital Markets</x:v>
      </x:c>
      <x:c r="C154" s="90" t="str">
        <x:v>Reach</x:v>
      </x:c>
      <x:c r="D154" s="90" t="n">
        <x:v>129</x:v>
      </x:c>
      <x:c r="E154" s="90" t="n">
        <x:v>71</x:v>
      </x:c>
      <x:c r="F154" s="90" t="n">
        <x:v>152</x:v>
      </x:c>
      <x:c r="G154" s="98" t="n">
        <x:v>0.006666666666666667</x:v>
      </x:c>
      <x:c r="H154" s="98" t="n">
        <x:v>0.0296</x:v>
      </x:c>
      <x:c r="I154" s="98" t="n">
        <x:v>0.13576666666666667</x:v>
      </x:c>
      <x:c r="J154" s="90" t="str">
        <x:v>Low</x:v>
      </x:c>
      <x:c r="K154" s="90" t="str">
        <x:v>Finance</x:v>
      </x:c>
      <x:c r="L154" s="90" t="str">
        <x:v>Quant / Data Summer Analyst</x:v>
      </x:c>
      <x:c r="M154" s="90" t="str">
        <x:v>Business/Strategy Analytics</x:v>
      </x:c>
      <x:c r="N154" s="98" t="n">
        <x:v>0.62</x:v>
      </x:c>
      <x:c r="O154" s="90" t="str">
        <x:v>Role-specific; verify future-sponsorship wording</x:v>
      </x:c>
      <x:c r="P154" s="98" t="n">
        <x:v>0.7864283456515395</x:v>
      </x:c>
      <x:c r="Q154" s="98" t="n">
        <x:v>0.25618897101026267</x:v>
      </x:c>
      <x:c r="R154" s="98" t="n">
        <x:v>0.635</x:v>
      </x:c>
      <x:c r="S154" s="98" t="n">
        <x:v>0.5</x:v>
      </x:c>
      <x:c r="T154" s="98" t="n">
        <x:v>0.76</x:v>
      </x:c>
      <x:c r="U154" s="98" t="n">
        <x:v>0.5</x:v>
      </x:c>
      <x:c r="V154" s="98" t="n">
        <x:v>0.64</x:v>
      </x:c>
      <x:c r="W154" s="98" t="n">
        <x:v>0.2894409937888199</x:v>
      </x:c>
      <x:c r="X154" s="90" t="str">
        <x:v>D</x:v>
      </x:c>
      <x:c r="Y154" s="90" t="n">
        <x:v>0</x:v>
      </x:c>
      <x:c r="Z154" s="90" t="str">
        <x:v>Economics, consumer analytics and Student Leader communication support analytical business decisions.</x:v>
      </x:c>
      <x:c r="AA154" s="90" t="str">
        <x:v>CPT/future-sponsorship wording must be verified; 3.31 GPA may sit below a preferred threshold; No matching public role found in reviewed trackers; LinkedIn network evidence pending</x:v>
      </x:c>
      <x:c r="AB154" s="90" t="str">
        <x:v>No matching role found in reviewed public trackers; treated as missing evidence, not a negative.</x:v>
      </x:c>
      <x:c r="AC154" s="90" t="str"/>
      <x:c r="AD154" s="90" t="str">
        <x:v>Aug-Oct 2026</x:v>
      </x:c>
      <x:c r="AE154" s="90" t="str">
        <x:v>https://jobs.rbc.com/ca/en/students</x:v>
      </x:c>
    </x:row>
    <x:row r="155" ht="54" customHeight="1">
      <x:c r="A155" s="90" t="n">
        <x:v>151</x:v>
      </x:c>
      <x:c r="B155" s="90" t="str">
        <x:v>Regeneron</x:v>
      </x:c>
      <x:c r="C155" s="90" t="str">
        <x:v>Reach</x:v>
      </x:c>
      <x:c r="D155" s="90" t="n">
        <x:v>132</x:v>
      </x:c>
      <x:c r="E155" s="90" t="n">
        <x:v>76</x:v>
      </x:c>
      <x:c r="F155" s="90" t="n">
        <x:v>153</x:v>
      </x:c>
      <x:c r="G155" s="98" t="n">
        <x:v>0.004633333333333333</x:v>
      </x:c>
      <x:c r="H155" s="98" t="n">
        <x:v>0.021666666666666667</x:v>
      </x:c>
      <x:c r="I155" s="98" t="n">
        <x:v>0.11521666666666666</x:v>
      </x:c>
      <x:c r="J155" s="90" t="str">
        <x:v>Low</x:v>
      </x:c>
      <x:c r="K155" s="90" t="str">
        <x:v>Pharma</x:v>
      </x:c>
      <x:c r="L155" s="90" t="str">
        <x:v>Data Science Intern</x:v>
      </x:c>
      <x:c r="M155" s="90" t="str">
        <x:v>Data Science</x:v>
      </x:c>
      <x:c r="N155" s="98" t="n">
        <x:v>0.62</x:v>
      </x:c>
      <x:c r="O155" s="90" t="str">
        <x:v>Role-specific; verify future-sponsorship wording</x:v>
      </x:c>
      <x:c r="P155" s="98" t="n">
        <x:v>0.8709499858336214</x:v>
      </x:c>
      <x:c r="Q155" s="98" t="n">
        <x:v>0.7596665722241431</x:v>
      </x:c>
      <x:c r="R155" s="98" t="n">
        <x:v>0.545</x:v>
      </x:c>
      <x:c r="S155" s="98" t="n">
        <x:v>0.5</x:v>
      </x:c>
      <x:c r="T155" s="98" t="n">
        <x:v>0.28</x:v>
      </x:c>
      <x:c r="U155" s="98" t="n">
        <x:v>0.5</x:v>
      </x:c>
      <x:c r="V155" s="98" t="n">
        <x:v>0.76</x:v>
      </x:c>
      <x:c r="W155" s="98" t="n">
        <x:v>0.5627329192546584</x:v>
      </x:c>
      <x:c r="X155" s="90" t="str">
        <x:v>D</x:v>
      </x:c>
      <x:c r="Y155" s="90" t="n">
        <x:v>0</x:v>
      </x:c>
      <x:c r="Z155" s="90" t="str">
        <x:v>ALSAC data science, propensity modeling, DataRobot, Python/SQL and ML research form a clear progression.</x:v>
      </x:c>
      <x:c r="AA155" s="90" t="str">
        <x:v>CPT/future-sponsorship wording must be verified; Observed roles show graduate-degree skew; Low personal industry preference; No matching public role found in reviewed trackers; LinkedIn network evidence pending</x:v>
      </x:c>
      <x:c r="AB155" s="90" t="str">
        <x:v>No matching role found in reviewed public trackers; treated as missing evidence, not a negative.</x:v>
      </x:c>
      <x:c r="AC155" s="90" t="str"/>
      <x:c r="AD155" s="90" t="str">
        <x:v>Oct-Jan 2027</x:v>
      </x:c>
      <x:c r="AE155" s="90" t="str">
        <x:v>https://careers.regeneron.com/students</x:v>
      </x:c>
    </x:row>
    <x:row r="156" ht="54" customHeight="1">
      <x:c r="A156" s="90" t="n">
        <x:v>152</x:v>
      </x:c>
      <x:c r="B156" s="90" t="str">
        <x:v>Home Depot</x:v>
      </x:c>
      <x:c r="C156" s="90" t="str">
        <x:v>Reach</x:v>
      </x:c>
      <x:c r="D156" s="90" t="n">
        <x:v>135</x:v>
      </x:c>
      <x:c r="E156" s="90" t="n">
        <x:v>82</x:v>
      </x:c>
      <x:c r="F156" s="90" t="n">
        <x:v>153</x:v>
      </x:c>
      <x:c r="G156" s="98" t="n">
        <x:v>0.0029</x:v>
      </x:c>
      <x:c r="H156" s="98" t="n">
        <x:v>0.015633333333333332</x:v>
      </x:c>
      <x:c r="I156" s="98" t="n">
        <x:v>0.09491666666666666</x:v>
      </x:c>
      <x:c r="J156" s="90" t="str">
        <x:v>Low</x:v>
      </x:c>
      <x:c r="K156" s="90" t="str">
        <x:v>Retail</x:v>
      </x:c>
      <x:c r="L156" s="90" t="str">
        <x:v>Data Science Intern</x:v>
      </x:c>
      <x:c r="M156" s="90" t="str">
        <x:v>Data Science</x:v>
      </x:c>
      <x:c r="N156" s="98" t="n">
        <x:v>0.62</x:v>
      </x:c>
      <x:c r="O156" s="90" t="str">
        <x:v>Role-specific; verify future-sponsorship wording</x:v>
      </x:c>
      <x:c r="P156" s="98" t="n">
        <x:v>0.8205740574247681</x:v>
      </x:c>
      <x:c r="Q156" s="98" t="n">
        <x:v>0.4571603828317872</x:v>
      </x:c>
      <x:c r="R156" s="98" t="n">
        <x:v>0.545</x:v>
      </x:c>
      <x:c r="S156" s="98" t="n">
        <x:v>0.5</x:v>
      </x:c>
      <x:c r="T156" s="98" t="n">
        <x:v>0.28</x:v>
      </x:c>
      <x:c r="U156" s="98" t="n">
        <x:v>0.5</x:v>
      </x:c>
      <x:c r="V156" s="98" t="n">
        <x:v>0.76</x:v>
      </x:c>
      <x:c r="W156" s="98" t="n">
        <x:v>0.6173913043478261</x:v>
      </x:c>
      <x:c r="X156" s="90" t="str">
        <x:v>D</x:v>
      </x:c>
      <x:c r="Y156" s="90" t="n">
        <x:v>0</x:v>
      </x:c>
      <x:c r="Z156" s="90" t="str">
        <x:v>ALSAC data science, propensity modeling, DataRobot, Python/SQL and ML research form a clear progression.</x:v>
      </x:c>
      <x:c r="AA156" s="90" t="str">
        <x:v>CPT/future-sponsorship wording must be verified; Observed roles show graduate-degree skew; Low personal industry preference; No matching public role found in reviewed trackers; LinkedIn network evidence pending</x:v>
      </x:c>
      <x:c r="AB156" s="90" t="str">
        <x:v>No matching role found in reviewed public trackers; treated as missing evidence, not a negative.</x:v>
      </x:c>
      <x:c r="AC156" s="90" t="str"/>
      <x:c r="AD156" s="90" t="str">
        <x:v>Sep-Nov 2026</x:v>
      </x:c>
      <x:c r="AE156" s="90" t="str">
        <x:v>https://careers.homedepot.com/university/</x:v>
      </x:c>
    </x:row>
    <x:row r="157" ht="54" customHeight="1">
      <x:c r="A157" s="90" t="n">
        <x:v>153</x:v>
      </x:c>
      <x:c r="B157" s="90" t="str">
        <x:v>Costco</x:v>
      </x:c>
      <x:c r="C157" s="90" t="str">
        <x:v>Reach</x:v>
      </x:c>
      <x:c r="D157" s="90" t="n">
        <x:v>136</x:v>
      </x:c>
      <x:c r="E157" s="90" t="n">
        <x:v>84</x:v>
      </x:c>
      <x:c r="F157" s="90" t="n">
        <x:v>153</x:v>
      </x:c>
      <x:c r="G157" s="98" t="n">
        <x:v>0.0030666666666666668</x:v>
      </x:c>
      <x:c r="H157" s="98" t="n">
        <x:v>0.0147</x:v>
      </x:c>
      <x:c r="I157" s="98" t="n">
        <x:v>0.08743333333333334</x:v>
      </x:c>
      <x:c r="J157" s="90" t="str">
        <x:v>Medium</x:v>
      </x:c>
      <x:c r="K157" s="90" t="str">
        <x:v>Retail</x:v>
      </x:c>
      <x:c r="L157" s="90" t="str">
        <x:v>Data Science / Analytics Intern</x:v>
      </x:c>
      <x:c r="M157" s="90" t="str">
        <x:v>Data Science</x:v>
      </x:c>
      <x:c r="N157" s="98" t="n">
        <x:v>0.62</x:v>
      </x:c>
      <x:c r="O157" s="90" t="str">
        <x:v>Role-specific; verify future-sponsorship wording</x:v>
      </x:c>
      <x:c r="P157" s="98" t="n">
        <x:v>0.8414081300976815</x:v>
      </x:c>
      <x:c r="Q157" s="98" t="n">
        <x:v>0.59605420065121</x:v>
      </x:c>
      <x:c r="R157" s="98" t="n">
        <x:v>0.545</x:v>
      </x:c>
      <x:c r="S157" s="98" t="n">
        <x:v>0.5</x:v>
      </x:c>
      <x:c r="T157" s="98" t="n">
        <x:v>0.28</x:v>
      </x:c>
      <x:c r="U157" s="98" t="n">
        <x:v>0.5</x:v>
      </x:c>
      <x:c r="V157" s="98" t="n">
        <x:v>0.76</x:v>
      </x:c>
      <x:c r="W157" s="98" t="n">
        <x:v>0.5428571428571429</x:v>
      </x:c>
      <x:c r="X157" s="90" t="str">
        <x:v>D</x:v>
      </x:c>
      <x:c r="Y157" s="90" t="n">
        <x:v>0</x:v>
      </x:c>
      <x:c r="Z157" s="90" t="str">
        <x:v>ALSAC data science, propensity modeling, DataRobot, Python/SQL and ML research form a clear progression.</x:v>
      </x:c>
      <x:c r="AA157" s="90" t="str">
        <x:v>CPT/future-sponsorship wording must be verified; Observed roles show graduate-degree skew; Low personal industry preference; No matching public role found in reviewed trackers; LinkedIn network evidence pending</x:v>
      </x:c>
      <x:c r="AB157" s="90" t="str">
        <x:v>No matching role found in reviewed public trackers; treated as missing evidence, not a negative.</x:v>
      </x:c>
      <x:c r="AC157" s="90" t="str"/>
      <x:c r="AD157" s="90" t="str">
        <x:v>Sep-Nov 2026</x:v>
      </x:c>
      <x:c r="AE157" s="90" t="str">
        <x:v>https://www.costco.com/jobs.html</x:v>
      </x:c>
    </x:row>
    <x:row r="158" ht="54" customHeight="1">
      <x:c r="A158" s="90" t="n">
        <x:v>154</x:v>
      </x:c>
      <x:c r="B158" s="90" t="str">
        <x:v>Fidelity</x:v>
      </x:c>
      <x:c r="C158" s="90" t="str">
        <x:v>Reach</x:v>
      </x:c>
      <x:c r="D158" s="90" t="n">
        <x:v>153</x:v>
      </x:c>
      <x:c r="E158" s="90" t="n">
        <x:v>139</x:v>
      </x:c>
      <x:c r="F158" s="90" t="n">
        <x:v>157</x:v>
      </x:c>
      <x:c r="G158" s="98" t="n">
        <x:v>0</x:v>
      </x:c>
      <x:c r="H158" s="98" t="n">
        <x:v>0.000016666666666666667</x:v>
      </x:c>
      <x:c r="I158" s="98" t="n">
        <x:v>0.00065</x:v>
      </x:c>
      <x:c r="J158" s="90" t="str">
        <x:v>High</x:v>
      </x:c>
      <x:c r="K158" s="90" t="str">
        <x:v>Finance</x:v>
      </x:c>
      <x:c r="L158" s="90" t="str">
        <x:v>Data Science Intern</x:v>
      </x:c>
      <x:c r="M158" s="90" t="str">
        <x:v>Data Science</x:v>
      </x:c>
      <x:c r="N158" s="98" t="n">
        <x:v>0.27999999999999997</x:v>
      </x:c>
      <x:c r="O158" s="90" t="str">
        <x:v>Low-priority work-authorization outlook</x:v>
      </x:c>
      <x:c r="P158" s="98" t="n">
        <x:v>0.8321340651106073</x:v>
      </x:c>
      <x:c r="Q158" s="98" t="n">
        <x:v>0.5342271007373823</x:v>
      </x:c>
      <x:c r="R158" s="98" t="n">
        <x:v>0.545</x:v>
      </x:c>
      <x:c r="S158" s="98" t="n">
        <x:v>0.5</x:v>
      </x:c>
      <x:c r="T158" s="98" t="n">
        <x:v>0.76</x:v>
      </x:c>
      <x:c r="U158" s="98" t="n">
        <x:v>0.5</x:v>
      </x:c>
      <x:c r="V158" s="98" t="n">
        <x:v>0.64</x:v>
      </x:c>
      <x:c r="W158" s="98" t="n">
        <x:v>0.2496894409937888</x:v>
      </x:c>
      <x:c r="X158" s="90" t="str">
        <x:v>D</x:v>
      </x:c>
      <x:c r="Y158" s="90" t="n">
        <x:v>0</x:v>
      </x:c>
      <x:c r="Z158" s="90" t="str">
        <x:v>ALSAC data science, propensity modeling, DataRobot, Python/SQL and ML research form a clear progression.</x:v>
      </x:c>
      <x:c r="AA158" s="90" t="str">
        <x:v>High work-authorization risk; 3.31 GPA may sit below a preferred threshold; Observed roles show graduate-degree skew; No matching public role found in reviewed trackers; LinkedIn network evidence pending</x:v>
      </x:c>
      <x:c r="AB158" s="90" t="str">
        <x:v>No matching role found in reviewed public trackers; treated as missing evidence, not a negative.</x:v>
      </x:c>
      <x:c r="AC158" s="90" t="str"/>
      <x:c r="AD158" s="90" t="str">
        <x:v>Sep-Nov 2026</x:v>
      </x:c>
      <x:c r="AE158" s="90" t="str">
        <x:v>https://jobs.fidelity.com/students/</x:v>
      </x:c>
    </x:row>
    <x:row r="159" ht="54" customHeight="1">
      <x:c r="A159" s="90" t="n">
        <x:v>155</x:v>
      </x:c>
      <x:c r="B159" s="90" t="str">
        <x:v>Vanguard</x:v>
      </x:c>
      <x:c r="C159" s="90" t="str">
        <x:v>Reach</x:v>
      </x:c>
      <x:c r="D159" s="90" t="n">
        <x:v>153</x:v>
      </x:c>
      <x:c r="E159" s="90" t="n">
        <x:v>139</x:v>
      </x:c>
      <x:c r="F159" s="90" t="n">
        <x:v>157</x:v>
      </x:c>
      <x:c r="G159" s="98" t="n">
        <x:v>0</x:v>
      </x:c>
      <x:c r="H159" s="98" t="n">
        <x:v>0.000016666666666666667</x:v>
      </x:c>
      <x:c r="I159" s="98" t="n">
        <x:v>0.0007166666666666667</x:v>
      </x:c>
      <x:c r="J159" s="90" t="str">
        <x:v>High</x:v>
      </x:c>
      <x:c r="K159" s="90" t="str">
        <x:v>Finance</x:v>
      </x:c>
      <x:c r="L159" s="90" t="str">
        <x:v>Data Science Intern</x:v>
      </x:c>
      <x:c r="M159" s="90" t="str">
        <x:v>Data Science</x:v>
      </x:c>
      <x:c r="N159" s="98" t="n">
        <x:v>0.27999999999999997</x:v>
      </x:c>
      <x:c r="O159" s="90" t="str">
        <x:v>Low-priority work-authorization outlook</x:v>
      </x:c>
      <x:c r="P159" s="98" t="n">
        <x:v>0.8321340651106073</x:v>
      </x:c>
      <x:c r="Q159" s="98" t="n">
        <x:v>0.5342271007373823</x:v>
      </x:c>
      <x:c r="R159" s="98" t="n">
        <x:v>0.545</x:v>
      </x:c>
      <x:c r="S159" s="98" t="n">
        <x:v>0.5</x:v>
      </x:c>
      <x:c r="T159" s="98" t="n">
        <x:v>0.76</x:v>
      </x:c>
      <x:c r="U159" s="98" t="n">
        <x:v>0.5</x:v>
      </x:c>
      <x:c r="V159" s="98" t="n">
        <x:v>0.64</x:v>
      </x:c>
      <x:c r="W159" s="98" t="n">
        <x:v>0.24472049689440994</x:v>
      </x:c>
      <x:c r="X159" s="90" t="str">
        <x:v>D</x:v>
      </x:c>
      <x:c r="Y159" s="90" t="n">
        <x:v>0</x:v>
      </x:c>
      <x:c r="Z159" s="90" t="str">
        <x:v>ALSAC data science, propensity modeling, DataRobot, Python/SQL and ML research form a clear progression.</x:v>
      </x:c>
      <x:c r="AA159" s="90" t="str">
        <x:v>High work-authorization risk; 3.31 GPA may sit below a preferred threshold; Observed roles show graduate-degree skew; No matching public role found in reviewed trackers; LinkedIn network evidence pending</x:v>
      </x:c>
      <x:c r="AB159" s="90" t="str">
        <x:v>No matching role found in reviewed public trackers; treated as missing evidence, not a negative.</x:v>
      </x:c>
      <x:c r="AC159" s="90" t="str"/>
      <x:c r="AD159" s="90" t="str">
        <x:v>Sep-Nov 2026</x:v>
      </x:c>
      <x:c r="AE159" s="90" t="str">
        <x:v>https://www.vanguardjobs.com/students/</x:v>
      </x:c>
    </x:row>
    <x:row r="160" ht="54" customHeight="1">
      <x:c r="A160" s="90" t="n">
        <x:v>156</x:v>
      </x:c>
      <x:c r="B160" s="90" t="str">
        <x:v>Procter &amp; Gamble</x:v>
      </x:c>
      <x:c r="C160" s="90" t="str">
        <x:v>Reach</x:v>
      </x:c>
      <x:c r="D160" s="90" t="n">
        <x:v>155</x:v>
      </x:c>
      <x:c r="E160" s="90" t="n">
        <x:v>147</x:v>
      </x:c>
      <x:c r="F160" s="90" t="n">
        <x:v>157</x:v>
      </x:c>
      <x:c r="G160" s="98" t="n">
        <x:v>0</x:v>
      </x:c>
      <x:c r="H160" s="98" t="n">
        <x:v>0</x:v>
      </x:c>
      <x:c r="I160" s="98" t="n">
        <x:v>0.0001</x:v>
      </x:c>
      <x:c r="J160" s="90" t="str">
        <x:v>High</x:v>
      </x:c>
      <x:c r="K160" s="90" t="str">
        <x:v>Consumer</x:v>
      </x:c>
      <x:c r="L160" s="90" t="str">
        <x:v>Data Science Intern</x:v>
      </x:c>
      <x:c r="M160" s="90" t="str">
        <x:v>Data Science</x:v>
      </x:c>
      <x:c r="N160" s="98" t="n">
        <x:v>0.27999999999999997</x:v>
      </x:c>
      <x:c r="O160" s="90" t="str">
        <x:v>Low-priority work-authorization outlook</x:v>
      </x:c>
      <x:c r="P160" s="98" t="n">
        <x:v>0.8339223481684617</x:v>
      </x:c>
      <x:c r="Q160" s="98" t="n">
        <x:v>0.5461489877897451</x:v>
      </x:c>
      <x:c r="R160" s="98" t="n">
        <x:v>0.545</x:v>
      </x:c>
      <x:c r="S160" s="98" t="n">
        <x:v>0.5</x:v>
      </x:c>
      <x:c r="T160" s="98" t="n">
        <x:v>0.28</x:v>
      </x:c>
      <x:c r="U160" s="98" t="n">
        <x:v>0.5</x:v>
      </x:c>
      <x:c r="V160" s="98" t="n">
        <x:v>0.76</x:v>
      </x:c>
      <x:c r="W160" s="98" t="n">
        <x:v>0.3739130434782608</x:v>
      </x:c>
      <x:c r="X160" s="90" t="str">
        <x:v>D</x:v>
      </x:c>
      <x:c r="Y160" s="90" t="n">
        <x:v>0</x:v>
      </x:c>
      <x:c r="Z160" s="90" t="str">
        <x:v>ALSAC data science, propensity modeling, DataRobot, Python/SQL and ML research form a clear progression.</x:v>
      </x:c>
      <x:c r="AA160" s="90" t="str">
        <x:v>High work-authorization risk; Observed roles show graduate-degree skew; Low personal industry preference; No matching public role found in reviewed trackers; LinkedIn network evidence pending</x:v>
      </x:c>
      <x:c r="AB160" s="90" t="str">
        <x:v>No matching role found in reviewed public trackers; treated as missing evidence, not a negative.</x:v>
      </x:c>
      <x:c r="AC160" s="90" t="str"/>
      <x:c r="AD160" s="90" t="str">
        <x:v>Aug-Oct 2026</x:v>
      </x:c>
      <x:c r="AE160" s="90" t="str">
        <x:v>https://www.pgcareers.com/students</x:v>
      </x:c>
    </x:row>
    <x:row r="161" ht="54" customHeight="1">
      <x:c r="A161" s="91" t="n">
        <x:v>157</x:v>
      </x:c>
      <x:c r="B161" s="91" t="str">
        <x:v>Target</x:v>
      </x:c>
      <x:c r="C161" s="91" t="str">
        <x:v>Reach</x:v>
      </x:c>
      <x:c r="D161" s="91" t="n">
        <x:v>155</x:v>
      </x:c>
      <x:c r="E161" s="91" t="n">
        <x:v>148</x:v>
      </x:c>
      <x:c r="F161" s="91" t="n">
        <x:v>157</x:v>
      </x:c>
      <x:c r="G161" s="99" t="n">
        <x:v>0</x:v>
      </x:c>
      <x:c r="H161" s="99" t="n">
        <x:v>0</x:v>
      </x:c>
      <x:c r="I161" s="99" t="n">
        <x:v>0.00006666666666666667</x:v>
      </x:c>
      <x:c r="J161" s="91" t="str">
        <x:v>High</x:v>
      </x:c>
      <x:c r="K161" s="91" t="str">
        <x:v>Retail</x:v>
      </x:c>
      <x:c r="L161" s="91" t="str">
        <x:v>Data Science Intern</x:v>
      </x:c>
      <x:c r="M161" s="91" t="str">
        <x:v>Data Science</x:v>
      </x:c>
      <x:c r="N161" s="99" t="n">
        <x:v>0.27999999999999997</x:v>
      </x:c>
      <x:c r="O161" s="91" t="str">
        <x:v>Low-priority work-authorization outlook</x:v>
      </x:c>
      <x:c r="P161" s="99" t="n">
        <x:v>0.8205740574247681</x:v>
      </x:c>
      <x:c r="Q161" s="99" t="n">
        <x:v>0.4571603828317872</x:v>
      </x:c>
      <x:c r="R161" s="99" t="n">
        <x:v>0.545</x:v>
      </x:c>
      <x:c r="S161" s="99" t="n">
        <x:v>0.5</x:v>
      </x:c>
      <x:c r="T161" s="99" t="n">
        <x:v>0.28</x:v>
      </x:c>
      <x:c r="U161" s="99" t="n">
        <x:v>0.5</x:v>
      </x:c>
      <x:c r="V161" s="99" t="n">
        <x:v>0.76</x:v>
      </x:c>
      <x:c r="W161" s="99" t="n">
        <x:v>0.37888198757763975</x:v>
      </x:c>
      <x:c r="X161" s="91" t="str">
        <x:v>D</x:v>
      </x:c>
      <x:c r="Y161" s="91" t="n">
        <x:v>0</x:v>
      </x:c>
      <x:c r="Z161" s="91" t="str">
        <x:v>ALSAC data science, propensity modeling, DataRobot, Python/SQL and ML research form a clear progression.</x:v>
      </x:c>
      <x:c r="AA161" s="91" t="str">
        <x:v>High work-authorization risk; Observed roles show graduate-degree skew; Low personal industry preference; No matching public role found in reviewed trackers; LinkedIn network evidence pending</x:v>
      </x:c>
      <x:c r="AB161" s="91" t="str">
        <x:v>No matching role found in reviewed public trackers; treated as missing evidence, not a negative.</x:v>
      </x:c>
      <x:c r="AC161" s="91" t="str"/>
      <x:c r="AD161" s="91" t="str">
        <x:v>Aug-Oct 2026</x:v>
      </x:c>
      <x:c r="AE161" s="91" t="str">
        <x:v>https://corporate.target.com/careers/internships</x:v>
      </x:c>
    </x:row>
  </x:sheetData>
  <x:mergeCells>
    <x:mergeCell ref="A1:AC1"/>
    <x:mergeCell ref="A2:AC2"/>
  </x:mergeCells>
  <x:conditionalFormatting sqref="C5:C161">
    <x:cfRule type="expression" dxfId="2" priority="1">
      <x:formula>C5="Strong Target"</x:formula>
    </x:cfRule>
    <x:cfRule type="expression" dxfId="3" priority="2">
      <x:formula>C5="Target"</x:formula>
    </x:cfRule>
    <x:cfRule type="expression" dxfId="4" priority="3">
      <x:formula>C5="Stretch"</x:formula>
    </x:cfRule>
    <x:cfRule type="expression" dxfId="5" priority="4">
      <x:formula>C5="Reach"</x:formula>
    </x:cfRule>
  </x:conditionalFormatting>
  <x:conditionalFormatting sqref="H5:H161">
    <x:cfRule type="dataBar" priority="5">
      <x:dataBar>
        <x:cfvo type="min"/>
        <x:cfvo type="max"/>
        <x:color rgb="FFA02B93"/>
      </x:dataBar>
      <x:extLst>
        <x:ext xmlns:x14="http://schemas.microsoft.com/office/spreadsheetml/2009/9/main" uri="{B025F937-C7B1-47D3-B67F-A62EFF666E3E}">
          <x14:id>{A7153424-5CBD-D0C2-4D71-EA0BEE7E246B}</x14:id>
        </x:ext>
      </x:extLst>
    </x:cfRule>
  </x:conditionalFormatting>
  <x:conditionalFormatting sqref="N5:N161">
    <x:cfRule type="colorScale" priority="6">
      <x:colorScale>
        <x:cfvo type="min"/>
        <x:cfvo type="percentile" val="50"/>
        <x:cfvo type="max"/>
        <x:color rgb="FFFEE2E2"/>
        <x:color rgb="FFFEF3C7"/>
        <x:color rgb="FFDCFCE7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b2bb30fa823f42f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A7153424-5CBD-D0C2-4D71-EA0BEE7E246B}">
            <x14:dataBar gradient="1">
              <x14:cfvo type="min"/>
              <x14:cfvo type="max"/>
              <x14:fillColor rgb="FFA02B93"/>
            </x14:dataBar>
          </x14:cfRule>
          <xm:sqref>H5:H161</xm:sqref>
        </x14:conditionalFormatting>
      </x14:conditionalFormattings>
    </x:ext>
  </x:extLst>
</x:worksheet>
</file>

<file path=xl/worksheets/sheet4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17" hidden="0" customWidth="1"/>
    <x:col min="4" max="4" width="38" hidden="0" customWidth="1"/>
    <x:col min="5" max="5" width="42" hidden="0" customWidth="1"/>
    <x:col min="6" max="6" width="12" hidden="0" customWidth="1"/>
    <x:col min="7" max="7" width="14" hidden="0" customWidth="1"/>
    <x:col min="8" max="8" width="13" hidden="0" customWidth="1"/>
    <x:col min="9" max="9" width="68" hidden="0" customWidth="1"/>
    <x:col min="10" max="10" width="55" hidden="0" customWidth="1"/>
    <x:col min="11" max="11" width="23" hidden="0" customWidth="1"/>
    <x:col min="12" max="12" width="60" hidden="0" customWidth="1"/>
  </x:cols>
  <x:sheetData>
    <x:row r="1" ht="34" customHeight="1">
      <x:c r="A1" s="4" t="str">
        <x:v>Top 40 Recruiting Action List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</x:row>
    <x:row r="2" ht="29" customHeight="1">
      <x:c r="A2" s="11" t="str">
        <x:v>The order is robust only where rank intervals do not heavily overlap. Exact postings can reorder this list immediately.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 ht="32" customHeight="1">
      <x:c r="A4" s="79" t="str">
        <x:v>Rank</x:v>
      </x:c>
      <x:c r="B4" s="79" t="str">
        <x:v>Company</x:v>
      </x:c>
      <x:c r="C4" s="79" t="str">
        <x:v>Tier</x:v>
      </x:c>
      <x:c r="D4" s="79" t="str">
        <x:v>Target program</x:v>
      </x:c>
      <x:c r="E4" s="79" t="str">
        <x:v>CPT outlook</x:v>
      </x:c>
      <x:c r="F4" s="79" t="str">
        <x:v>P(top 40)</x:v>
      </x:c>
      <x:c r="G4" s="79" t="str">
        <x:v>Rank interval</x:v>
      </x:c>
      <x:c r="H4" s="79" t="str">
        <x:v>Evidence grade</x:v>
      </x:c>
      <x:c r="I4" s="79" t="str">
        <x:v>Why Ahaan</x:v>
      </x:c>
      <x:c r="J4" s="79" t="str">
        <x:v>Main risk</x:v>
      </x:c>
      <x:c r="K4" s="79" t="str">
        <x:v>Opening</x:v>
      </x:c>
      <x:c r="L4" s="79" t="str">
        <x:v>Career page</x:v>
      </x:c>
    </x:row>
    <x:row r="5" ht="58" customHeight="1">
      <x:c r="A5" s="90" t="n">
        <x:v>1</x:v>
      </x:c>
      <x:c r="B5" s="90" t="str">
        <x:v>Amazon</x:v>
      </x:c>
      <x:c r="C5" s="90" t="str">
        <x:v>Strong Target</x:v>
      </x:c>
      <x:c r="D5" s="90" t="str">
        <x:v>Data Science Intern / Business Intelligence Engineer Intern</x:v>
      </x:c>
      <x:c r="E5" s="90" t="str">
        <x:v>Strong historical/declared CPT evidence</x:v>
      </x:c>
      <x:c r="F5" s="98" t="n">
        <x:v>0.90415</x:v>
      </x:c>
      <x:c r="G5" s="90" t="str">
        <x:v>3–40</x:v>
      </x:c>
      <x:c r="H5" s="90" t="str">
        <x:v>C</x:v>
      </x:c>
      <x:c r="I5" s="90" t="str">
        <x:v>SQL/Tableau dashboarding on 30M+ donor records and decision-support work are direct evidence.</x:v>
      </x:c>
      <x:c r="J5" s="90" t="str">
        <x:v>Exact posting still controls CPT eligibility; LinkedIn network evidence pending</x:v>
      </x:c>
      <x:c r="K5" s="90" t="str">
        <x:v>Opens late Jul-Aug 2026 - FIRST big tech to post. Set alert TODAY.</x:v>
      </x:c>
      <x:c r="L5" s="90" t="str">
        <x:v>https://amazon.jobs/en/teams/internships-for-students</x:v>
      </x:c>
    </x:row>
    <x:row r="6" ht="58" customHeight="1">
      <x:c r="A6" s="90" t="n">
        <x:v>2</x:v>
      </x:c>
      <x:c r="B6" s="90" t="str">
        <x:v>Charles River Associates</x:v>
      </x:c>
      <x:c r="C6" s="90" t="str">
        <x:v>Strong Target</x:v>
      </x:c>
      <x:c r="D6" s="90" t="str">
        <x:v>Analyst Intern</x:v>
      </x:c>
      <x:c r="E6" s="90" t="str">
        <x:v>Likely workable; verify exact posting</x:v>
      </x:c>
      <x:c r="F6" s="98" t="n">
        <x:v>0.8448666666666667</x:v>
      </x:c>
      <x:c r="G6" s="90" t="str">
        <x:v>2–50</x:v>
      </x:c>
      <x:c r="H6" s="90" t="str">
        <x:v>C</x:v>
      </x:c>
      <x:c r="I6" s="90" t="str">
        <x:v>CMDA + Economics, two publications and the incoming economics replication project create unusually direct fit.</x:v>
      </x:c>
      <x:c r="J6" s="90" t="str">
        <x:v>Exact posting still controls CPT eligibility; 3.31 GPA may sit below a preferred threshold; LinkedIn network evidence pending</x:v>
      </x:c>
      <x:c r="K6" s="90" t="str">
        <x:v>Sep-Nov 2026</x:v>
      </x:c>
      <x:c r="L6" s="90" t="str">
        <x:v>https://careers.crai.com/students</x:v>
      </x:c>
    </x:row>
    <x:row r="7" ht="58" customHeight="1">
      <x:c r="A7" s="90" t="n">
        <x:v>3</x:v>
      </x:c>
      <x:c r="B7" s="90" t="str">
        <x:v>Analysis Group</x:v>
      </x:c>
      <x:c r="C7" s="90" t="str">
        <x:v>Strong Target</x:v>
      </x:c>
      <x:c r="D7" s="90" t="str">
        <x:v>Analyst Intern</x:v>
      </x:c>
      <x:c r="E7" s="90" t="str">
        <x:v>Likely workable; verify exact posting</x:v>
      </x:c>
      <x:c r="F7" s="98" t="n">
        <x:v>0.8199166666666666</x:v>
      </x:c>
      <x:c r="G7" s="90" t="str">
        <x:v>2–55</x:v>
      </x:c>
      <x:c r="H7" s="90" t="str">
        <x:v>D</x:v>
      </x:c>
      <x:c r="I7" s="90" t="str">
        <x:v>CMDA + Economics, two publications and the incoming economics replication project create unusually direct fit.</x:v>
      </x:c>
      <x:c r="J7" s="90" t="str">
        <x:v>Exact posting still controls CPT eligibility; 3.31 GPA may sit below a preferred threshold; No matching public role found in reviewed trackers; LinkedIn network evidence pending</x:v>
      </x:c>
      <x:c r="K7" s="90" t="str">
        <x:v>Sep-Nov 2026</x:v>
      </x:c>
      <x:c r="L7" s="90" t="str">
        <x:v>https://www.analysisgroup.com/careers/</x:v>
      </x:c>
    </x:row>
    <x:row r="8" ht="58" customHeight="1">
      <x:c r="A8" s="90" t="n">
        <x:v>4</x:v>
      </x:c>
      <x:c r="B8" s="90" t="str">
        <x:v>Cornerstone Research</x:v>
      </x:c>
      <x:c r="C8" s="90" t="str">
        <x:v>Strong Target</x:v>
      </x:c>
      <x:c r="D8" s="90" t="str">
        <x:v>Analyst Intern</x:v>
      </x:c>
      <x:c r="E8" s="90" t="str">
        <x:v>Likely workable; verify exact posting</x:v>
      </x:c>
      <x:c r="F8" s="98" t="n">
        <x:v>0.8183666666666667</x:v>
      </x:c>
      <x:c r="G8" s="90" t="str">
        <x:v>2–55</x:v>
      </x:c>
      <x:c r="H8" s="90" t="str">
        <x:v>D</x:v>
      </x:c>
      <x:c r="I8" s="90" t="str">
        <x:v>CMDA + Economics, two publications and the incoming economics replication project create unusually direct fit.</x:v>
      </x:c>
      <x:c r="J8" s="90" t="str">
        <x:v>Exact posting still controls CPT eligibility; 3.31 GPA may sit below a preferred threshold; No matching public role found in reviewed trackers; LinkedIn network evidence pending</x:v>
      </x:c>
      <x:c r="K8" s="90" t="str">
        <x:v>Sep-Nov 2026</x:v>
      </x:c>
      <x:c r="L8" s="90" t="str">
        <x:v>https://www.cornerstone.com/careers/</x:v>
      </x:c>
    </x:row>
    <x:row r="9" ht="58" customHeight="1">
      <x:c r="A9" s="90" t="n">
        <x:v>5</x:v>
      </x:c>
      <x:c r="B9" s="90" t="str">
        <x:v>Brattle Group</x:v>
      </x:c>
      <x:c r="C9" s="90" t="str">
        <x:v>Strong Target</x:v>
      </x:c>
      <x:c r="D9" s="90" t="str">
        <x:v>Research Analyst Intern</x:v>
      </x:c>
      <x:c r="E9" s="90" t="str">
        <x:v>Likely workable; verify exact posting</x:v>
      </x:c>
      <x:c r="F9" s="98" t="n">
        <x:v>0.8125</x:v>
      </x:c>
      <x:c r="G9" s="90" t="str">
        <x:v>2–55</x:v>
      </x:c>
      <x:c r="H9" s="90" t="str">
        <x:v>D</x:v>
      </x:c>
      <x:c r="I9" s="90" t="str">
        <x:v>CMDA + Economics, two publications and the incoming economics replication project create unusually direct fit.</x:v>
      </x:c>
      <x:c r="J9" s="90" t="str">
        <x:v>Exact posting still controls CPT eligibility; 3.31 GPA may sit below a preferred threshold; No matching public role found in reviewed trackers; LinkedIn network evidence pending</x:v>
      </x:c>
      <x:c r="K9" s="90" t="str">
        <x:v>Sep-Nov 2026</x:v>
      </x:c>
      <x:c r="L9" s="90" t="str">
        <x:v>https://www.brattle.com/careers/</x:v>
      </x:c>
    </x:row>
    <x:row r="10" ht="58" customHeight="1">
      <x:c r="A10" s="90" t="n">
        <x:v>6</x:v>
      </x:c>
      <x:c r="B10" s="90" t="str">
        <x:v>Bates White</x:v>
      </x:c>
      <x:c r="C10" s="90" t="str">
        <x:v>Strong Target</x:v>
      </x:c>
      <x:c r="D10" s="90" t="str">
        <x:v>Consultant Intern</x:v>
      </x:c>
      <x:c r="E10" s="90" t="str">
        <x:v>Likely workable; verify exact posting</x:v>
      </x:c>
      <x:c r="F10" s="98" t="n">
        <x:v>0.8120166666666667</x:v>
      </x:c>
      <x:c r="G10" s="90" t="str">
        <x:v>2–56</x:v>
      </x:c>
      <x:c r="H10" s="90" t="str">
        <x:v>D</x:v>
      </x:c>
      <x:c r="I10" s="90" t="str">
        <x:v>CMDA + Economics, two publications and the incoming economics replication project create unusually direct fit.</x:v>
      </x:c>
      <x:c r="J10" s="90" t="str">
        <x:v>Exact posting still controls CPT eligibility; 3.31 GPA may sit below a preferred threshold; No matching public role found in reviewed trackers; LinkedIn network evidence pending</x:v>
      </x:c>
      <x:c r="K10" s="90" t="str">
        <x:v>Sep-Nov 2026</x:v>
      </x:c>
      <x:c r="L10" s="90" t="str">
        <x:v>https://www.bateswhite.com/careers.html</x:v>
      </x:c>
    </x:row>
    <x:row r="11" ht="58" customHeight="1">
      <x:c r="A11" s="90" t="n">
        <x:v>7</x:v>
      </x:c>
      <x:c r="B11" s="90" t="str">
        <x:v>Compass Lexecon</x:v>
      </x:c>
      <x:c r="C11" s="90" t="str">
        <x:v>Strong Target</x:v>
      </x:c>
      <x:c r="D11" s="90" t="str">
        <x:v>Analyst Intern</x:v>
      </x:c>
      <x:c r="E11" s="90" t="str">
        <x:v>Likely workable; verify exact posting</x:v>
      </x:c>
      <x:c r="F11" s="98" t="n">
        <x:v>0.8119166666666666</x:v>
      </x:c>
      <x:c r="G11" s="90" t="str">
        <x:v>2–56</x:v>
      </x:c>
      <x:c r="H11" s="90" t="str">
        <x:v>D</x:v>
      </x:c>
      <x:c r="I11" s="90" t="str">
        <x:v>CMDA + Economics, two publications and the incoming economics replication project create unusually direct fit.</x:v>
      </x:c>
      <x:c r="J11" s="90" t="str">
        <x:v>Exact posting still controls CPT eligibility; 3.31 GPA may sit below a preferred threshold; No matching public role found in reviewed trackers; LinkedIn network evidence pending</x:v>
      </x:c>
      <x:c r="K11" s="90" t="str">
        <x:v>Sep-Nov 2026</x:v>
      </x:c>
      <x:c r="L11" s="90" t="str">
        <x:v>https://www.compasslexecon.com/careers</x:v>
      </x:c>
    </x:row>
    <x:row r="12" ht="58" customHeight="1">
      <x:c r="A12" s="90" t="n">
        <x:v>8</x:v>
      </x:c>
      <x:c r="B12" s="90" t="str">
        <x:v>NERA Economic Consulting</x:v>
      </x:c>
      <x:c r="C12" s="90" t="str">
        <x:v>Strong Target</x:v>
      </x:c>
      <x:c r="D12" s="90" t="str">
        <x:v>Research Associate Intern</x:v>
      </x:c>
      <x:c r="E12" s="90" t="str">
        <x:v>Likely workable; verify exact posting</x:v>
      </x:c>
      <x:c r="F12" s="98" t="n">
        <x:v>0.8108</x:v>
      </x:c>
      <x:c r="G12" s="90" t="str">
        <x:v>2–56</x:v>
      </x:c>
      <x:c r="H12" s="90" t="str">
        <x:v>D</x:v>
      </x:c>
      <x:c r="I12" s="90" t="str">
        <x:v>CMDA + Economics, two publications and the incoming economics replication project create unusually direct fit.</x:v>
      </x:c>
      <x:c r="J12" s="90" t="str">
        <x:v>Exact posting still controls CPT eligibility; 3.31 GPA may sit below a preferred threshold; No matching public role found in reviewed trackers; LinkedIn network evidence pending</x:v>
      </x:c>
      <x:c r="K12" s="90" t="str">
        <x:v>Sep-Nov 2026</x:v>
      </x:c>
      <x:c r="L12" s="90" t="str">
        <x:v>https://www.nera.com/careers.html</x:v>
      </x:c>
    </x:row>
    <x:row r="13" ht="58" customHeight="1">
      <x:c r="A13" s="90" t="n">
        <x:v>9</x:v>
      </x:c>
      <x:c r="B13" s="90" t="str">
        <x:v>IBM</x:v>
      </x:c>
      <x:c r="C13" s="90" t="str">
        <x:v>Strong Target</x:v>
      </x:c>
      <x:c r="D13" s="90" t="str">
        <x:v>Data Science Intern</x:v>
      </x:c>
      <x:c r="E13" s="90" t="str">
        <x:v>Strong historical/declared CPT evidence</x:v>
      </x:c>
      <x:c r="F13" s="98" t="n">
        <x:v>0.8125166666666667</x:v>
      </x:c>
      <x:c r="G13" s="90" t="str">
        <x:v>4–53</x:v>
      </x:c>
      <x:c r="H13" s="90" t="str">
        <x:v>C</x:v>
      </x:c>
      <x:c r="I13" s="90" t="str">
        <x:v>ALSAC data science, propensity modeling, DataRobot, Python/SQL and ML research form a clear progression.</x:v>
      </x:c>
      <x:c r="J13" s="90" t="str">
        <x:v>Exact posting still controls CPT eligibility; LinkedIn network evidence pending</x:v>
      </x:c>
      <x:c r="K13" s="90" t="str">
        <x:v>Sep-Nov 2026</x:v>
      </x:c>
      <x:c r="L13" s="90" t="str">
        <x:v>https://www.ibm.com/careers/internships</x:v>
      </x:c>
    </x:row>
    <x:row r="14" ht="58" customHeight="1">
      <x:c r="A14" s="90" t="n">
        <x:v>10</x:v>
      </x:c>
      <x:c r="B14" s="90" t="str">
        <x:v>Nielsen / NielsenIQ</x:v>
      </x:c>
      <x:c r="C14" s="90" t="str">
        <x:v>Strong Target</x:v>
      </x:c>
      <x:c r="D14" s="90" t="str">
        <x:v>Data Science Intern</x:v>
      </x:c>
      <x:c r="E14" s="90" t="str">
        <x:v>Likely workable; verify exact posting</x:v>
      </x:c>
      <x:c r="F14" s="98" t="n">
        <x:v>0.7377166666666667</x:v>
      </x:c>
      <x:c r="G14" s="90" t="str">
        <x:v>4–65</x:v>
      </x:c>
      <x:c r="H14" s="90" t="str">
        <x:v>C</x:v>
      </x:c>
      <x:c r="I14" s="90" t="str">
        <x:v>ALSAC data science, propensity modeling, DataRobot, Python/SQL and ML research form a clear progression. Consumer insights and segmentation are especially aligned with his prior work.</x:v>
      </x:c>
      <x:c r="J14" s="90" t="str">
        <x:v>Exact posting still controls CPT eligibility; LinkedIn network evidence pending</x:v>
      </x:c>
      <x:c r="K14" s="90" t="str">
        <x:v>Sep-Nov 2026</x:v>
      </x:c>
      <x:c r="L14" s="90" t="str">
        <x:v>https://nielseniq.com/global/en/careers/</x:v>
      </x:c>
    </x:row>
    <x:row r="15" ht="58" customHeight="1">
      <x:c r="A15" s="90" t="n">
        <x:v>11</x:v>
      </x:c>
      <x:c r="B15" s="90" t="str">
        <x:v>Salesforce</x:v>
      </x:c>
      <x:c r="C15" s="90" t="str">
        <x:v>Strong Target</x:v>
      </x:c>
      <x:c r="D15" s="90" t="str">
        <x:v>Futureforce Data Analytics Intern</x:v>
      </x:c>
      <x:c r="E15" s="90" t="str">
        <x:v>Likely workable; verify exact posting</x:v>
      </x:c>
      <x:c r="F15" s="98" t="n">
        <x:v>0.7351166666666666</x:v>
      </x:c>
      <x:c r="G15" s="90" t="str">
        <x:v>4–65</x:v>
      </x:c>
      <x:c r="H15" s="90" t="str">
        <x:v>C</x:v>
      </x:c>
      <x:c r="I15" s="90" t="str">
        <x:v>Three analytics internships plus SQL, Python, Tableau, forecasting and segmentation directly match the lane.</x:v>
      </x:c>
      <x:c r="J15" s="90" t="str">
        <x:v>Exact posting still controls CPT eligibility; LinkedIn network evidence pending</x:v>
      </x:c>
      <x:c r="K15" s="90" t="str">
        <x:v>Sep-Oct 2026</x:v>
      </x:c>
      <x:c r="L15" s="90" t="str">
        <x:v>https://www.salesforce.com/company/careers/university-recruiting/</x:v>
      </x:c>
    </x:row>
    <x:row r="16" ht="58" customHeight="1">
      <x:c r="A16" s="90" t="n">
        <x:v>12</x:v>
      </x:c>
      <x:c r="B16" s="90" t="str">
        <x:v>DoorDash</x:v>
      </x:c>
      <x:c r="C16" s="90" t="str">
        <x:v>Strong Target</x:v>
      </x:c>
      <x:c r="D16" s="90" t="str">
        <x:v>Data Science / Analytics Intern</x:v>
      </x:c>
      <x:c r="E16" s="90" t="str">
        <x:v>Likely workable; verify exact posting</x:v>
      </x:c>
      <x:c r="F16" s="98" t="n">
        <x:v>0.7261666666666666</x:v>
      </x:c>
      <x:c r="G16" s="90" t="str">
        <x:v>4–67</x:v>
      </x:c>
      <x:c r="H16" s="90" t="str">
        <x:v>D</x:v>
      </x:c>
      <x:c r="I16" s="90" t="str">
        <x:v>ALSAC data science, propensity modeling, DataRobot, Python/SQL and ML research form a clear progression. Marketplace/customer behavior is a direct extension of his growth and consumer analytics work.</x:v>
      </x:c>
      <x:c r="J16" s="90" t="str">
        <x:v>Exact posting still controls CPT eligibility; Observed roles show graduate-degree skew; No matching public role found in reviewed trackers; LinkedIn network evidence pending</x:v>
      </x:c>
      <x:c r="K16" s="90" t="str">
        <x:v>Aug-Oct 2026</x:v>
      </x:c>
      <x:c r="L16" s="90" t="str">
        <x:v>https://careers.doordash.com/university/</x:v>
      </x:c>
    </x:row>
    <x:row r="17" ht="58" customHeight="1">
      <x:c r="A17" s="90" t="n">
        <x:v>13</x:v>
      </x:c>
      <x:c r="B17" s="90" t="str">
        <x:v>Airbnb</x:v>
      </x:c>
      <x:c r="C17" s="90" t="str">
        <x:v>Strong Target</x:v>
      </x:c>
      <x:c r="D17" s="90" t="str">
        <x:v>Data Science Intern</x:v>
      </x:c>
      <x:c r="E17" s="90" t="str">
        <x:v>Likely workable; verify exact posting</x:v>
      </x:c>
      <x:c r="F17" s="98" t="n">
        <x:v>0.7278333333333333</x:v>
      </x:c>
      <x:c r="G17" s="90" t="str">
        <x:v>4–65</x:v>
      </x:c>
      <x:c r="H17" s="90" t="str">
        <x:v>C</x:v>
      </x:c>
      <x:c r="I17" s="90" t="str">
        <x:v>ALSAC data science, propensity modeling, DataRobot, Python/SQL and ML research form a clear progression. Marketplace/customer behavior is a direct extension of his growth and consumer analytics work.</x:v>
      </x:c>
      <x:c r="J17" s="90" t="str">
        <x:v>Exact posting still controls CPT eligibility; LinkedIn network evidence pending</x:v>
      </x:c>
      <x:c r="K17" s="90" t="str">
        <x:v>Sep-Nov 2026</x:v>
      </x:c>
      <x:c r="L17" s="90" t="str">
        <x:v>https://careers.airbnb.com/university/</x:v>
      </x:c>
    </x:row>
    <x:row r="18" ht="58" customHeight="1">
      <x:c r="A18" s="90" t="n">
        <x:v>14</x:v>
      </x:c>
      <x:c r="B18" s="90" t="str">
        <x:v>Appian</x:v>
      </x:c>
      <x:c r="C18" s="90" t="str">
        <x:v>Target</x:v>
      </x:c>
      <x:c r="D18" s="90" t="str">
        <x:v>Data/Solutions Intern</x:v>
      </x:c>
      <x:c r="E18" s="90" t="str">
        <x:v>Role-specific; verify future-sponsorship wording</x:v>
      </x:c>
      <x:c r="F18" s="98" t="n">
        <x:v>0.66535</x:v>
      </x:c>
      <x:c r="G18" s="90" t="str">
        <x:v>2–83</x:v>
      </x:c>
      <x:c r="H18" s="90" t="str">
        <x:v>D</x:v>
      </x:c>
      <x:c r="I18" s="90" t="str">
        <x:v>Three analytics internships plus SQL, Python, Tableau, forecasting and segmentation directly match the lane. The Virginia/VT pipeline adds practical recruiting access.</x:v>
      </x:c>
      <x:c r="J18" s="90" t="str">
        <x:v>CPT/future-sponsorship wording must be verified; No matching public role found in reviewed trackers</x:v>
      </x:c>
      <x:c r="K18" s="90" t="str">
        <x:v>Sep-Nov 2026</x:v>
      </x:c>
      <x:c r="L18" s="90" t="str">
        <x:v>https://careers.appian.com/</x:v>
      </x:c>
    </x:row>
    <x:row r="19" ht="58" customHeight="1">
      <x:c r="A19" s="90" t="n">
        <x:v>15</x:v>
      </x:c>
      <x:c r="B19" s="90" t="str">
        <x:v>Cvent</x:v>
      </x:c>
      <x:c r="C19" s="90" t="str">
        <x:v>Target</x:v>
      </x:c>
      <x:c r="D19" s="90" t="str">
        <x:v>Data Analytics Intern</x:v>
      </x:c>
      <x:c r="E19" s="90" t="str">
        <x:v>Role-specific; verify future-sponsorship wording</x:v>
      </x:c>
      <x:c r="F19" s="98" t="n">
        <x:v>0.6636166666666666</x:v>
      </x:c>
      <x:c r="G19" s="90" t="str">
        <x:v>2–83</x:v>
      </x:c>
      <x:c r="H19" s="90" t="str">
        <x:v>D</x:v>
      </x:c>
      <x:c r="I19" s="90" t="str">
        <x:v>Three analytics internships plus SQL, Python, Tableau, forecasting and segmentation directly match the lane. The Virginia/VT pipeline adds practical recruiting access.</x:v>
      </x:c>
      <x:c r="J19" s="90" t="str">
        <x:v>CPT/future-sponsorship wording must be verified; No matching public role found in reviewed trackers</x:v>
      </x:c>
      <x:c r="K19" s="90" t="str">
        <x:v>Sep-Nov 2026</x:v>
      </x:c>
      <x:c r="L19" s="90" t="str">
        <x:v>https://www.cvent.com/en/careers</x:v>
      </x:c>
    </x:row>
    <x:row r="20" ht="58" customHeight="1">
      <x:c r="A20" s="90" t="n">
        <x:v>16</x:v>
      </x:c>
      <x:c r="B20" s="90" t="str">
        <x:v>Wayfair</x:v>
      </x:c>
      <x:c r="C20" s="90" t="str">
        <x:v>Target</x:v>
      </x:c>
      <x:c r="D20" s="90" t="str">
        <x:v>Data Science Intern</x:v>
      </x:c>
      <x:c r="E20" s="90" t="str">
        <x:v>Likely workable; verify exact posting</x:v>
      </x:c>
      <x:c r="F20" s="98" t="n">
        <x:v>0.6624833333333333</x:v>
      </x:c>
      <x:c r="G20" s="90" t="str">
        <x:v>5–75</x:v>
      </x:c>
      <x:c r="H20" s="90" t="str">
        <x:v>D</x:v>
      </x:c>
      <x:c r="I20" s="90" t="str">
        <x:v>ALSAC data science, propensity modeling, DataRobot, Python/SQL and ML research form a clear progression. Marketplace/customer behavior is a direct extension of his growth and consumer analytics work.</x:v>
      </x:c>
      <x:c r="J20" s="90" t="str">
        <x:v>Exact posting still controls CPT eligibility; Observed roles show graduate-degree skew; No matching public role found in reviewed trackers; LinkedIn network evidence pending</x:v>
      </x:c>
      <x:c r="K20" s="90" t="str">
        <x:v>Sep-Nov 2026</x:v>
      </x:c>
      <x:c r="L20" s="90" t="str">
        <x:v>https://www.aboutwayfair.com/careers/early-career</x:v>
      </x:c>
    </x:row>
    <x:row r="21" ht="58" customHeight="1">
      <x:c r="A21" s="90" t="n">
        <x:v>17</x:v>
      </x:c>
      <x:c r="B21" s="90" t="str">
        <x:v>Snowflake</x:v>
      </x:c>
      <x:c r="C21" s="90" t="str">
        <x:v>Target</x:v>
      </x:c>
      <x:c r="D21" s="90" t="str">
        <x:v>Data Science Intern</x:v>
      </x:c>
      <x:c r="E21" s="90" t="str">
        <x:v>Likely workable; verify exact posting</x:v>
      </x:c>
      <x:c r="F21" s="98" t="n">
        <x:v>0.6602</x:v>
      </x:c>
      <x:c r="G21" s="90" t="str">
        <x:v>6–73</x:v>
      </x:c>
      <x:c r="H21" s="90" t="str">
        <x:v>B</x:v>
      </x:c>
      <x:c r="I21" s="90" t="str">
        <x:v>ALSAC data science, propensity modeling, DataRobot, Python/SQL and ML research form a clear progression.</x:v>
      </x:c>
      <x:c r="J21" s="90" t="str">
        <x:v>Exact posting still controls CPT eligibility; LinkedIn network evidence pending</x:v>
      </x:c>
      <x:c r="K21" s="90" t="str">
        <x:v>Aug-Oct 2026</x:v>
      </x:c>
      <x:c r="L21" s="90" t="str">
        <x:v>https://careers.snowflake.com/us/en/university</x:v>
      </x:c>
    </x:row>
    <x:row r="22" ht="58" customHeight="1">
      <x:c r="A22" s="90" t="n">
        <x:v>18</x:v>
      </x:c>
      <x:c r="B22" s="90" t="str">
        <x:v>eBay</x:v>
      </x:c>
      <x:c r="C22" s="90" t="str">
        <x:v>Target</x:v>
      </x:c>
      <x:c r="D22" s="90" t="str">
        <x:v>Data Science Intern</x:v>
      </x:c>
      <x:c r="E22" s="90" t="str">
        <x:v>Likely workable; verify exact posting</x:v>
      </x:c>
      <x:c r="F22" s="98" t="n">
        <x:v>0.6198333333333333</x:v>
      </x:c>
      <x:c r="G22" s="90" t="str">
        <x:v>6–78</x:v>
      </x:c>
      <x:c r="H22" s="90" t="str">
        <x:v>C</x:v>
      </x:c>
      <x:c r="I22" s="90" t="str">
        <x:v>ALSAC data science, propensity modeling, DataRobot, Python/SQL and ML research form a clear progression. Marketplace/customer behavior is a direct extension of his growth and consumer analytics work.</x:v>
      </x:c>
      <x:c r="J22" s="90" t="str">
        <x:v>Exact posting still controls CPT eligibility; LinkedIn network evidence pending</x:v>
      </x:c>
      <x:c r="K22" s="90" t="str">
        <x:v>Sep-Nov 2026</x:v>
      </x:c>
      <x:c r="L22" s="90" t="str">
        <x:v>https://careers.ebayinc.com/students/</x:v>
      </x:c>
    </x:row>
    <x:row r="23" ht="58" customHeight="1">
      <x:c r="A23" s="90" t="n">
        <x:v>19</x:v>
      </x:c>
      <x:c r="B23" s="90" t="str">
        <x:v>Mastercard</x:v>
      </x:c>
      <x:c r="C23" s="90" t="str">
        <x:v>Target</x:v>
      </x:c>
      <x:c r="D23" s="90" t="str">
        <x:v>Data Science / Analytics Intern (Launch)</x:v>
      </x:c>
      <x:c r="E23" s="90" t="str">
        <x:v>Likely workable; verify exact posting</x:v>
      </x:c>
      <x:c r="F23" s="98" t="n">
        <x:v>0.6151</x:v>
      </x:c>
      <x:c r="G23" s="90" t="str">
        <x:v>6–80</x:v>
      </x:c>
      <x:c r="H23" s="90" t="str">
        <x:v>D</x:v>
      </x:c>
      <x:c r="I23" s="90" t="str">
        <x:v>ALSAC data science, propensity modeling, DataRobot, Python/SQL and ML research form a clear progression. Payments and consumer-spend analytics closely match his consumer-behavior and segmentation experience.</x:v>
      </x:c>
      <x:c r="J23" s="90" t="str">
        <x:v>Exact posting still controls CPT eligibility; Observed roles show graduate-degree skew; No matching public role found in reviewed trackers; LinkedIn network evidence pending</x:v>
      </x:c>
      <x:c r="K23" s="90" t="str">
        <x:v>Aug-Oct 2026</x:v>
      </x:c>
      <x:c r="L23" s="90" t="str">
        <x:v>https://careers.mastercard.com/us/en/students</x:v>
      </x:c>
    </x:row>
    <x:row r="24" ht="58" customHeight="1">
      <x:c r="A24" s="90" t="n">
        <x:v>20</x:v>
      </x:c>
      <x:c r="B24" s="90" t="str">
        <x:v>American Express</x:v>
      </x:c>
      <x:c r="C24" s="90" t="str">
        <x:v>Target</x:v>
      </x:c>
      <x:c r="D24" s="90" t="str">
        <x:v>Data Science Summer Intern</x:v>
      </x:c>
      <x:c r="E24" s="90" t="str">
        <x:v>Likely workable; verify exact posting</x:v>
      </x:c>
      <x:c r="F24" s="98" t="n">
        <x:v>0.6003666666666667</x:v>
      </x:c>
      <x:c r="G24" s="90" t="str">
        <x:v>7–81</x:v>
      </x:c>
      <x:c r="H24" s="90" t="str">
        <x:v>C</x:v>
      </x:c>
      <x:c r="I24" s="90" t="str">
        <x:v>ALSAC data science, propensity modeling, DataRobot, Python/SQL and ML research form a clear progression. Payments and consumer-spend analytics closely match his consumer-behavior and segmentation experience.</x:v>
      </x:c>
      <x:c r="J24" s="90" t="str">
        <x:v>Exact posting still controls CPT eligibility; LinkedIn network evidence pending</x:v>
      </x:c>
      <x:c r="K24" s="90" t="str">
        <x:v>Aug-Oct 2026</x:v>
      </x:c>
      <x:c r="L24" s="90" t="str">
        <x:v>https://www.americanexpress.com/en-us/careers/students/</x:v>
      </x:c>
    </x:row>
    <x:row r="25" ht="58" customHeight="1">
      <x:c r="A25" s="90" t="n">
        <x:v>21</x:v>
      </x:c>
      <x:c r="B25" s="90" t="str">
        <x:v>Intel</x:v>
      </x:c>
      <x:c r="C25" s="90" t="str">
        <x:v>Target</x:v>
      </x:c>
      <x:c r="D25" s="90" t="str">
        <x:v>Data Science / Analytics Intern</x:v>
      </x:c>
      <x:c r="E25" s="90" t="str">
        <x:v>Strong historical/declared CPT evidence</x:v>
      </x:c>
      <x:c r="F25" s="98" t="n">
        <x:v>0.5853333333333334</x:v>
      </x:c>
      <x:c r="G25" s="90" t="str">
        <x:v>10–75</x:v>
      </x:c>
      <x:c r="H25" s="90" t="str">
        <x:v>C</x:v>
      </x:c>
      <x:c r="I25" s="90" t="str">
        <x:v>ALSAC data science, propensity modeling, DataRobot, Python/SQL and ML research form a clear progression.</x:v>
      </x:c>
      <x:c r="J25" s="90" t="str">
        <x:v>Exact posting still controls CPT eligibility; LinkedIn network evidence pending</x:v>
      </x:c>
      <x:c r="K25" s="90" t="str">
        <x:v>Sep-Nov 2026</x:v>
      </x:c>
      <x:c r="L25" s="90" t="str">
        <x:v>https://intel.com/jobs/students</x:v>
      </x:c>
    </x:row>
    <x:row r="26" ht="58" customHeight="1">
      <x:c r="A26" s="90" t="n">
        <x:v>22</x:v>
      </x:c>
      <x:c r="B26" s="90" t="str">
        <x:v>Cisco</x:v>
      </x:c>
      <x:c r="C26" s="90" t="str">
        <x:v>Target</x:v>
      </x:c>
      <x:c r="D26" s="90" t="str">
        <x:v>Data Science / Analytics Intern</x:v>
      </x:c>
      <x:c r="E26" s="90" t="str">
        <x:v>Likely workable; verify exact posting</x:v>
      </x:c>
      <x:c r="F26" s="98" t="n">
        <x:v>0.54595</x:v>
      </x:c>
      <x:c r="G26" s="90" t="str">
        <x:v>8–86</x:v>
      </x:c>
      <x:c r="H26" s="90" t="str">
        <x:v>C</x:v>
      </x:c>
      <x:c r="I26" s="90" t="str">
        <x:v>ALSAC data science, propensity modeling, DataRobot, Python/SQL and ML research form a clear progression.</x:v>
      </x:c>
      <x:c r="J26" s="90" t="str">
        <x:v>Exact posting still controls CPT eligibility; LinkedIn network evidence pending</x:v>
      </x:c>
      <x:c r="K26" s="90" t="str">
        <x:v>Sep-Dec 2026</x:v>
      </x:c>
      <x:c r="L26" s="90" t="str">
        <x:v>https://www.cisco.com/c/en/us/about/careers/working-at-cisco/students-and-new-graduate-programs.html</x:v>
      </x:c>
    </x:row>
    <x:row r="27" ht="58" customHeight="1">
      <x:c r="A27" s="90" t="n">
        <x:v>23</x:v>
      </x:c>
      <x:c r="B27" s="90" t="str">
        <x:v>CGI</x:v>
      </x:c>
      <x:c r="C27" s="90" t="str">
        <x:v>Target</x:v>
      </x:c>
      <x:c r="D27" s="90" t="str">
        <x:v>Data Analytics Intern</x:v>
      </x:c>
      <x:c r="E27" s="90" t="str">
        <x:v>Role-specific; verify future-sponsorship wording</x:v>
      </x:c>
      <x:c r="F27" s="98" t="n">
        <x:v>0.5278166666666667</x:v>
      </x:c>
      <x:c r="G27" s="90" t="str">
        <x:v>5–102</x:v>
      </x:c>
      <x:c r="H27" s="90" t="str">
        <x:v>D</x:v>
      </x:c>
      <x:c r="I27" s="90" t="str">
        <x:v>Technical analytics plus economics, research and residential leadership support client-facing analytical work. The Virginia/VT pipeline adds practical recruiting access.</x:v>
      </x:c>
      <x:c r="J27" s="90" t="str">
        <x:v>CPT/future-sponsorship wording must be verified; 3.31 GPA may sit below a preferred threshold; No matching public role found in reviewed trackers</x:v>
      </x:c>
      <x:c r="K27" s="90" t="str">
        <x:v>Sep-Dec 2026</x:v>
      </x:c>
      <x:c r="L27" s="90" t="str">
        <x:v>https://cgi.com/en/careers/students</x:v>
      </x:c>
    </x:row>
    <x:row r="28" ht="58" customHeight="1">
      <x:c r="A28" s="90" t="n">
        <x:v>24</x:v>
      </x:c>
      <x:c r="B28" s="90" t="str">
        <x:v>ServiceNow</x:v>
      </x:c>
      <x:c r="C28" s="90" t="str">
        <x:v>Target</x:v>
      </x:c>
      <x:c r="D28" s="90" t="str">
        <x:v>Data Science / Analytics Intern</x:v>
      </x:c>
      <x:c r="E28" s="90" t="str">
        <x:v>Likely workable; verify exact posting</x:v>
      </x:c>
      <x:c r="F28" s="98" t="n">
        <x:v>0.5314</x:v>
      </x:c>
      <x:c r="G28" s="90" t="str">
        <x:v>8–90</x:v>
      </x:c>
      <x:c r="H28" s="90" t="str">
        <x:v>D</x:v>
      </x:c>
      <x:c r="I28" s="90" t="str">
        <x:v>ALSAC data science, propensity modeling, DataRobot, Python/SQL and ML research form a clear progression.</x:v>
      </x:c>
      <x:c r="J28" s="90" t="str">
        <x:v>Exact posting still controls CPT eligibility; Observed roles show graduate-degree skew; No matching public role found in reviewed trackers; LinkedIn network evidence pending</x:v>
      </x:c>
      <x:c r="K28" s="90" t="str">
        <x:v>Sep-Nov 2026</x:v>
      </x:c>
      <x:c r="L28" s="90" t="str">
        <x:v>https://careers.servicenow.com/early-career/</x:v>
      </x:c>
    </x:row>
    <x:row r="29" ht="58" customHeight="1">
      <x:c r="A29" s="90" t="n">
        <x:v>25</x:v>
      </x:c>
      <x:c r="B29" s="90" t="str">
        <x:v>Instacart</x:v>
      </x:c>
      <x:c r="C29" s="90" t="str">
        <x:v>Target</x:v>
      </x:c>
      <x:c r="D29" s="90" t="str">
        <x:v>Data Science / Economics Intern</x:v>
      </x:c>
      <x:c r="E29" s="90" t="str">
        <x:v>Likely workable; verify exact posting</x:v>
      </x:c>
      <x:c r="F29" s="98" t="n">
        <x:v>0.5096833333333334</x:v>
      </x:c>
      <x:c r="G29" s="90" t="str">
        <x:v>10–90</x:v>
      </x:c>
      <x:c r="H29" s="90" t="str">
        <x:v>C</x:v>
      </x:c>
      <x:c r="I29" s="90" t="str">
        <x:v>ALSAC data science, propensity modeling, DataRobot, Python/SQL and ML research form a clear progression. Marketplace/customer behavior is a direct extension of his growth and consumer analytics work.</x:v>
      </x:c>
      <x:c r="J29" s="90" t="str">
        <x:v>Exact posting still controls CPT eligibility; Observed roles show graduate-degree skew; LinkedIn network evidence pending</x:v>
      </x:c>
      <x:c r="K29" s="90" t="str">
        <x:v>Sep-Nov 2026</x:v>
      </x:c>
      <x:c r="L29" s="90" t="str">
        <x:v>https://instacart.careers/university-recruiting/</x:v>
      </x:c>
    </x:row>
    <x:row r="30" ht="58" customHeight="1">
      <x:c r="A30" s="90" t="n">
        <x:v>26</x:v>
      </x:c>
      <x:c r="B30" s="90" t="str">
        <x:v>Spotify</x:v>
      </x:c>
      <x:c r="C30" s="90" t="str">
        <x:v>Target</x:v>
      </x:c>
      <x:c r="D30" s="90" t="str">
        <x:v>Data Science Intern</x:v>
      </x:c>
      <x:c r="E30" s="90" t="str">
        <x:v>Likely workable; verify exact posting</x:v>
      </x:c>
      <x:c r="F30" s="98" t="n">
        <x:v>0.4926</x:v>
      </x:c>
      <x:c r="G30" s="90" t="str">
        <x:v>11–90</x:v>
      </x:c>
      <x:c r="H30" s="90" t="str">
        <x:v>C</x:v>
      </x:c>
      <x:c r="I30" s="90" t="str">
        <x:v>ALSAC data science, propensity modeling, DataRobot, Python/SQL and ML research form a clear progression.</x:v>
      </x:c>
      <x:c r="J30" s="90" t="str">
        <x:v>Exact posting still controls CPT eligibility; LinkedIn network evidence pending</x:v>
      </x:c>
      <x:c r="K30" s="90" t="str">
        <x:v>Sep-Nov 2026</x:v>
      </x:c>
      <x:c r="L30" s="90" t="str">
        <x:v>https://www.lifeatspotify.com/students</x:v>
      </x:c>
    </x:row>
    <x:row r="31" ht="58" customHeight="1">
      <x:c r="A31" s="90" t="n">
        <x:v>27</x:v>
      </x:c>
      <x:c r="B31" s="90" t="str">
        <x:v>Lyft</x:v>
      </x:c>
      <x:c r="C31" s="90" t="str">
        <x:v>Target</x:v>
      </x:c>
      <x:c r="D31" s="90" t="str">
        <x:v>Data Science Intern</x:v>
      </x:c>
      <x:c r="E31" s="90" t="str">
        <x:v>Likely workable; verify exact posting</x:v>
      </x:c>
      <x:c r="F31" s="98" t="n">
        <x:v>0.49865</x:v>
      </x:c>
      <x:c r="G31" s="90" t="str">
        <x:v>10–91</x:v>
      </x:c>
      <x:c r="H31" s="90" t="str">
        <x:v>C</x:v>
      </x:c>
      <x:c r="I31" s="90" t="str">
        <x:v>ALSAC data science, propensity modeling, DataRobot, Python/SQL and ML research form a clear progression.</x:v>
      </x:c>
      <x:c r="J31" s="90" t="str">
        <x:v>Exact posting still controls CPT eligibility; LinkedIn network evidence pending</x:v>
      </x:c>
      <x:c r="K31" s="90" t="str">
        <x:v>Sep-Nov 2026</x:v>
      </x:c>
      <x:c r="L31" s="90" t="str">
        <x:v>https://www.lyft.com/careers/early-talent</x:v>
      </x:c>
    </x:row>
    <x:row r="32" ht="58" customHeight="1">
      <x:c r="A32" s="90" t="n">
        <x:v>28</x:v>
      </x:c>
      <x:c r="B32" s="90" t="str">
        <x:v>Adobe</x:v>
      </x:c>
      <x:c r="C32" s="90" t="str">
        <x:v>Target</x:v>
      </x:c>
      <x:c r="D32" s="90" t="str">
        <x:v>Data Science Intern</x:v>
      </x:c>
      <x:c r="E32" s="90" t="str">
        <x:v>Likely workable; verify exact posting</x:v>
      </x:c>
      <x:c r="F32" s="98" t="n">
        <x:v>0.47531666666666667</x:v>
      </x:c>
      <x:c r="G32" s="90" t="str">
        <x:v>11–92</x:v>
      </x:c>
      <x:c r="H32" s="90" t="str">
        <x:v>B</x:v>
      </x:c>
      <x:c r="I32" s="90" t="str">
        <x:v>ALSAC data science, propensity modeling, DataRobot, Python/SQL and ML research form a clear progression.</x:v>
      </x:c>
      <x:c r="J32" s="90" t="str">
        <x:v>Exact posting still controls CPT eligibility; LinkedIn network evidence pending</x:v>
      </x:c>
      <x:c r="K32" s="90" t="str">
        <x:v>Aug-Sep 2026</x:v>
      </x:c>
      <x:c r="L32" s="90" t="str">
        <x:v>https://www.adobe.com/careers/university.html</x:v>
      </x:c>
    </x:row>
    <x:row r="33" ht="58" customHeight="1">
      <x:c r="A33" s="90" t="n">
        <x:v>29</x:v>
      </x:c>
      <x:c r="B33" s="90" t="str">
        <x:v>Kroger / 84.51°</x:v>
      </x:c>
      <x:c r="C33" s="90" t="str">
        <x:v>Target</x:v>
      </x:c>
      <x:c r="D33" s="90" t="str">
        <x:v>Data Science Intern (84.51°)</x:v>
      </x:c>
      <x:c r="E33" s="90" t="str">
        <x:v>Likely workable; verify exact posting</x:v>
      </x:c>
      <x:c r="F33" s="98" t="n">
        <x:v>0.46565</x:v>
      </x:c>
      <x:c r="G33" s="90" t="str">
        <x:v>11–96</x:v>
      </x:c>
      <x:c r="H33" s="90" t="str">
        <x:v>D</x:v>
      </x:c>
      <x:c r="I33" s="90" t="str">
        <x:v>ALSAC data science, propensity modeling, DataRobot, Python/SQL and ML research form a clear progression. Consumer insights and segmentation are especially aligned with his prior work.</x:v>
      </x:c>
      <x:c r="J33" s="90" t="str">
        <x:v>Exact posting still controls CPT eligibility; Observed roles show graduate-degree skew; No matching public role found in reviewed trackers; LinkedIn network evidence pending</x:v>
      </x:c>
      <x:c r="K33" s="90" t="str">
        <x:v>Sep-Nov 2026</x:v>
      </x:c>
      <x:c r="L33" s="90" t="str">
        <x:v>https://www.8451.com/careers</x:v>
      </x:c>
    </x:row>
    <x:row r="34" ht="58" customHeight="1">
      <x:c r="A34" s="90" t="n">
        <x:v>30</x:v>
      </x:c>
      <x:c r="B34" s="90" t="str">
        <x:v>Snap</x:v>
      </x:c>
      <x:c r="C34" s="90" t="str">
        <x:v>Target</x:v>
      </x:c>
      <x:c r="D34" s="90" t="str">
        <x:v>Data Science Intern</x:v>
      </x:c>
      <x:c r="E34" s="90" t="str">
        <x:v>Likely workable; verify exact posting</x:v>
      </x:c>
      <x:c r="F34" s="98" t="n">
        <x:v>0.4508666666666667</x:v>
      </x:c>
      <x:c r="G34" s="90" t="str">
        <x:v>12–94</x:v>
      </x:c>
      <x:c r="H34" s="90" t="str">
        <x:v>C</x:v>
      </x:c>
      <x:c r="I34" s="90" t="str">
        <x:v>ALSAC data science, propensity modeling, DataRobot, Python/SQL and ML research form a clear progression.</x:v>
      </x:c>
      <x:c r="J34" s="90" t="str">
        <x:v>Exact posting still controls CPT eligibility; LinkedIn network evidence pending</x:v>
      </x:c>
      <x:c r="K34" s="90" t="str">
        <x:v>Sep-Nov 2026</x:v>
      </x:c>
      <x:c r="L34" s="90" t="str">
        <x:v>https://careers.snap.com/university</x:v>
      </x:c>
    </x:row>
    <x:row r="35" ht="58" customHeight="1">
      <x:c r="A35" s="90" t="n">
        <x:v>31</x:v>
      </x:c>
      <x:c r="B35" s="90" t="str">
        <x:v>Visa</x:v>
      </x:c>
      <x:c r="C35" s="90" t="str">
        <x:v>Target</x:v>
      </x:c>
      <x:c r="D35" s="90" t="str">
        <x:v>Data Science Intern</x:v>
      </x:c>
      <x:c r="E35" s="90" t="str">
        <x:v>Likely workable; verify exact posting</x:v>
      </x:c>
      <x:c r="F35" s="98" t="n">
        <x:v>0.4504166666666667</x:v>
      </x:c>
      <x:c r="G35" s="90" t="str">
        <x:v>12–94</x:v>
      </x:c>
      <x:c r="H35" s="90" t="str">
        <x:v>C</x:v>
      </x:c>
      <x:c r="I35" s="90" t="str">
        <x:v>ALSAC data science, propensity modeling, DataRobot, Python/SQL and ML research form a clear progression. Payments and consumer-spend analytics closely match his consumer-behavior and segmentation experience.</x:v>
      </x:c>
      <x:c r="J35" s="90" t="str">
        <x:v>Exact posting still controls CPT eligibility; LinkedIn network evidence pending</x:v>
      </x:c>
      <x:c r="K35" s="90" t="str">
        <x:v>Aug-Oct 2026</x:v>
      </x:c>
      <x:c r="L35" s="90" t="str">
        <x:v>https://corporate.visa.com/en/jobs/students.html</x:v>
      </x:c>
    </x:row>
    <x:row r="36" ht="58" customHeight="1">
      <x:c r="A36" s="90" t="n">
        <x:v>32</x:v>
      </x:c>
      <x:c r="B36" s="90" t="str">
        <x:v>Pinterest</x:v>
      </x:c>
      <x:c r="C36" s="90" t="str">
        <x:v>Target</x:v>
      </x:c>
      <x:c r="D36" s="90" t="str">
        <x:v>Data Science Intern</x:v>
      </x:c>
      <x:c r="E36" s="90" t="str">
        <x:v>Likely workable; verify exact posting</x:v>
      </x:c>
      <x:c r="F36" s="98" t="n">
        <x:v>0.4475166666666667</x:v>
      </x:c>
      <x:c r="G36" s="90" t="str">
        <x:v>12–95</x:v>
      </x:c>
      <x:c r="H36" s="90" t="str">
        <x:v>C</x:v>
      </x:c>
      <x:c r="I36" s="90" t="str">
        <x:v>ALSAC data science, propensity modeling, DataRobot, Python/SQL and ML research form a clear progression.</x:v>
      </x:c>
      <x:c r="J36" s="90" t="str">
        <x:v>Exact posting still controls CPT eligibility; LinkedIn network evidence pending</x:v>
      </x:c>
      <x:c r="K36" s="90" t="str">
        <x:v>Sep-Nov 2026</x:v>
      </x:c>
      <x:c r="L36" s="90" t="str">
        <x:v>https://www.pinterestcareers.com/en/students/</x:v>
      </x:c>
    </x:row>
    <x:row r="37" ht="58" customHeight="1">
      <x:c r="A37" s="90" t="n">
        <x:v>33</x:v>
      </x:c>
      <x:c r="B37" s="90" t="str">
        <x:v>Microsoft</x:v>
      </x:c>
      <x:c r="C37" s="90" t="str">
        <x:v>Target</x:v>
      </x:c>
      <x:c r="D37" s="90" t="str">
        <x:v>Data Science Intern</x:v>
      </x:c>
      <x:c r="E37" s="90" t="str">
        <x:v>Strong historical/declared CPT evidence</x:v>
      </x:c>
      <x:c r="F37" s="98" t="n">
        <x:v>0.4234833333333333</x:v>
      </x:c>
      <x:c r="G37" s="90" t="str">
        <x:v>16–87</x:v>
      </x:c>
      <x:c r="H37" s="90" t="str">
        <x:v>C</x:v>
      </x:c>
      <x:c r="I37" s="90" t="str">
        <x:v>ALSAC data science, propensity modeling, DataRobot, Python/SQL and ML research form a clear progression.</x:v>
      </x:c>
      <x:c r="J37" s="90" t="str">
        <x:v>Exact posting still controls CPT eligibility; Observed roles show graduate-degree skew; LinkedIn network evidence pending</x:v>
      </x:c>
      <x:c r="K37" s="90" t="str">
        <x:v>Opens ~Aug 15, 2026 (last cycle's date).</x:v>
      </x:c>
      <x:c r="L37" s="90" t="str">
        <x:v>https://careers.microsoft.com/v2/global/en/students</x:v>
      </x:c>
    </x:row>
    <x:row r="38" ht="58" customHeight="1">
      <x:c r="A38" s="90" t="n">
        <x:v>34</x:v>
      </x:c>
      <x:c r="B38" s="90" t="str">
        <x:v>Atlassian</x:v>
      </x:c>
      <x:c r="C38" s="90" t="str">
        <x:v>Target</x:v>
      </x:c>
      <x:c r="D38" s="90" t="str">
        <x:v>Data Science Intern</x:v>
      </x:c>
      <x:c r="E38" s="90" t="str">
        <x:v>Likely workable; verify exact posting</x:v>
      </x:c>
      <x:c r="F38" s="98" t="n">
        <x:v>0.43785</x:v>
      </x:c>
      <x:c r="G38" s="90" t="str">
        <x:v>11–99</x:v>
      </x:c>
      <x:c r="H38" s="90" t="str">
        <x:v>D</x:v>
      </x:c>
      <x:c r="I38" s="90" t="str">
        <x:v>ALSAC data science, propensity modeling, DataRobot, Python/SQL and ML research form a clear progression.</x:v>
      </x:c>
      <x:c r="J38" s="90" t="str">
        <x:v>Exact posting still controls CPT eligibility; Observed roles show graduate-degree skew; No matching public role found in reviewed trackers; LinkedIn network evidence pending</x:v>
      </x:c>
      <x:c r="K38" s="90" t="str">
        <x:v>Sep-Nov 2026</x:v>
      </x:c>
      <x:c r="L38" s="90" t="str">
        <x:v>https://www.atlassian.com/company/careers/students</x:v>
      </x:c>
    </x:row>
    <x:row r="39" ht="58" customHeight="1">
      <x:c r="A39" s="90" t="n">
        <x:v>35</x:v>
      </x:c>
      <x:c r="B39" s="90" t="str">
        <x:v>Reddit</x:v>
      </x:c>
      <x:c r="C39" s="90" t="str">
        <x:v>Target</x:v>
      </x:c>
      <x:c r="D39" s="90" t="str">
        <x:v>Data Science Intern</x:v>
      </x:c>
      <x:c r="E39" s="90" t="str">
        <x:v>Likely workable; verify exact posting</x:v>
      </x:c>
      <x:c r="F39" s="98" t="n">
        <x:v>0.4377666666666667</x:v>
      </x:c>
      <x:c r="G39" s="90" t="str">
        <x:v>11–99</x:v>
      </x:c>
      <x:c r="H39" s="90" t="str">
        <x:v>D</x:v>
      </x:c>
      <x:c r="I39" s="90" t="str">
        <x:v>ALSAC data science, propensity modeling, DataRobot, Python/SQL and ML research form a clear progression.</x:v>
      </x:c>
      <x:c r="J39" s="90" t="str">
        <x:v>Exact posting still controls CPT eligibility; Observed roles show graduate-degree skew; No matching public role found in reviewed trackers; LinkedIn network evidence pending</x:v>
      </x:c>
      <x:c r="K39" s="90" t="str">
        <x:v>Oct-Dec 2026</x:v>
      </x:c>
      <x:c r="L39" s="90" t="str">
        <x:v>https://redditinc.com/careers</x:v>
      </x:c>
    </x:row>
    <x:row r="40" ht="58" customHeight="1">
      <x:c r="A40" s="90" t="n">
        <x:v>36</x:v>
      </x:c>
      <x:c r="B40" s="90" t="str">
        <x:v>Uber</x:v>
      </x:c>
      <x:c r="C40" s="90" t="str">
        <x:v>Target</x:v>
      </x:c>
      <x:c r="D40" s="90" t="str">
        <x:v>Data Science Intern</x:v>
      </x:c>
      <x:c r="E40" s="90" t="str">
        <x:v>Likely workable; verify exact posting</x:v>
      </x:c>
      <x:c r="F40" s="98" t="n">
        <x:v>0.42451666666666665</x:v>
      </x:c>
      <x:c r="G40" s="90" t="str">
        <x:v>13–95</x:v>
      </x:c>
      <x:c r="H40" s="90" t="str">
        <x:v>B</x:v>
      </x:c>
      <x:c r="I40" s="90" t="str">
        <x:v>ALSAC data science, propensity modeling, DataRobot, Python/SQL and ML research form a clear progression. Marketplace/customer behavior is a direct extension of his growth and consumer analytics work.</x:v>
      </x:c>
      <x:c r="J40" s="90" t="str">
        <x:v>Exact posting still controls CPT eligibility; LinkedIn network evidence pending</x:v>
      </x:c>
      <x:c r="K40" s="90" t="str">
        <x:v>Sep-Oct 2026</x:v>
      </x:c>
      <x:c r="L40" s="90" t="str">
        <x:v>https://www.uber.com/us/en/careers/teams/university/</x:v>
      </x:c>
    </x:row>
    <x:row r="41" ht="58" customHeight="1">
      <x:c r="A41" s="90" t="n">
        <x:v>37</x:v>
      </x:c>
      <x:c r="B41" s="90" t="str">
        <x:v>Duolingo</x:v>
      </x:c>
      <x:c r="C41" s="90" t="str">
        <x:v>Target</x:v>
      </x:c>
      <x:c r="D41" s="90" t="str">
        <x:v>Data Science Intern</x:v>
      </x:c>
      <x:c r="E41" s="90" t="str">
        <x:v>Likely workable; verify exact posting</x:v>
      </x:c>
      <x:c r="F41" s="98" t="n">
        <x:v>0.4306333333333333</x:v>
      </x:c>
      <x:c r="G41" s="90" t="str">
        <x:v>11–100</x:v>
      </x:c>
      <x:c r="H41" s="90" t="str">
        <x:v>D</x:v>
      </x:c>
      <x:c r="I41" s="90" t="str">
        <x:v>ALSAC data science, propensity modeling, DataRobot, Python/SQL and ML research form a clear progression.</x:v>
      </x:c>
      <x:c r="J41" s="90" t="str">
        <x:v>Exact posting still controls CPT eligibility; Observed roles show graduate-degree skew; No matching public role found in reviewed trackers; LinkedIn network evidence pending</x:v>
      </x:c>
      <x:c r="K41" s="90" t="str">
        <x:v>Sep-Oct 2026</x:v>
      </x:c>
      <x:c r="L41" s="90" t="str">
        <x:v>https://careers.duolingo.com/students</x:v>
      </x:c>
    </x:row>
    <x:row r="42" ht="58" customHeight="1">
      <x:c r="A42" s="90" t="n">
        <x:v>38</x:v>
      </x:c>
      <x:c r="B42" s="90" t="str">
        <x:v>LinkedIn</x:v>
      </x:c>
      <x:c r="C42" s="90" t="str">
        <x:v>Target</x:v>
      </x:c>
      <x:c r="D42" s="90" t="str">
        <x:v>Data Science Intern</x:v>
      </x:c>
      <x:c r="E42" s="90" t="str">
        <x:v>Likely workable; verify exact posting</x:v>
      </x:c>
      <x:c r="F42" s="98" t="n">
        <x:v>0.41205</x:v>
      </x:c>
      <x:c r="G42" s="90" t="str">
        <x:v>14–98</x:v>
      </x:c>
      <x:c r="H42" s="90" t="str">
        <x:v>C</x:v>
      </x:c>
      <x:c r="I42" s="90" t="str">
        <x:v>ALSAC data science, propensity modeling, DataRobot, Python/SQL and ML research form a clear progression.</x:v>
      </x:c>
      <x:c r="J42" s="90" t="str">
        <x:v>Exact posting still controls CPT eligibility; Observed roles show graduate-degree skew; LinkedIn network evidence pending</x:v>
      </x:c>
      <x:c r="K42" s="90" t="str">
        <x:v>Sep-Oct 2026</x:v>
      </x:c>
      <x:c r="L42" s="90" t="str">
        <x:v>https://careers.linkedin.com/students</x:v>
      </x:c>
    </x:row>
    <x:row r="43" ht="58" customHeight="1">
      <x:c r="A43" s="90" t="n">
        <x:v>39</x:v>
      </x:c>
      <x:c r="B43" s="90" t="str">
        <x:v>Nutanix</x:v>
      </x:c>
      <x:c r="C43" s="90" t="str">
        <x:v>Target</x:v>
      </x:c>
      <x:c r="D43" s="90" t="str">
        <x:v>Data Science Intern</x:v>
      </x:c>
      <x:c r="E43" s="90" t="str">
        <x:v>Likely workable; verify exact posting</x:v>
      </x:c>
      <x:c r="F43" s="98" t="n">
        <x:v>0.42425</x:v>
      </x:c>
      <x:c r="G43" s="90" t="str">
        <x:v>12–100</x:v>
      </x:c>
      <x:c r="H43" s="90" t="str">
        <x:v>D</x:v>
      </x:c>
      <x:c r="I43" s="90" t="str">
        <x:v>ALSAC data science, propensity modeling, DataRobot, Python/SQL and ML research form a clear progression.</x:v>
      </x:c>
      <x:c r="J43" s="90" t="str">
        <x:v>Exact posting still controls CPT eligibility; Observed roles show graduate-degree skew; No matching public role found in reviewed trackers; LinkedIn network evidence pending</x:v>
      </x:c>
      <x:c r="K43" s="90" t="str">
        <x:v>Oct-Dec 2026</x:v>
      </x:c>
      <x:c r="L43" s="90" t="str">
        <x:v>https://www.nutanix.com/company/careers/university</x:v>
      </x:c>
    </x:row>
    <x:row r="44" ht="58" customHeight="1">
      <x:c r="A44" s="91" t="n">
        <x:v>40</x:v>
      </x:c>
      <x:c r="B44" s="91" t="str">
        <x:v>Oracle</x:v>
      </x:c>
      <x:c r="C44" s="91" t="str">
        <x:v>Target</x:v>
      </x:c>
      <x:c r="D44" s="91" t="str">
        <x:v>Data Science / Analyst Intern</x:v>
      </x:c>
      <x:c r="E44" s="91" t="str">
        <x:v>Likely workable; verify exact posting</x:v>
      </x:c>
      <x:c r="F44" s="99" t="n">
        <x:v>0.42188333333333333</x:v>
      </x:c>
      <x:c r="G44" s="91" t="str">
        <x:v>12–101</x:v>
      </x:c>
      <x:c r="H44" s="91" t="str">
        <x:v>D</x:v>
      </x:c>
      <x:c r="I44" s="91" t="str">
        <x:v>ALSAC data science, propensity modeling, DataRobot, Python/SQL and ML research form a clear progression.</x:v>
      </x:c>
      <x:c r="J44" s="91" t="str">
        <x:v>Exact posting still controls CPT eligibility; Observed roles show graduate-degree skew; No matching public role found in reviewed trackers; LinkedIn network evidence pending</x:v>
      </x:c>
      <x:c r="K44" s="91" t="str">
        <x:v>Sep-Nov 2026</x:v>
      </x:c>
      <x:c r="L44" s="91" t="str">
        <x:v>https://www.oracle.com/careers/students-grads/</x:v>
      </x:c>
    </x:row>
  </x:sheetData>
  <x:mergeCells>
    <x:mergeCell ref="A1:N1"/>
    <x:mergeCell ref="A2:N2"/>
  </x:mergeCells>
  <x:pageMargins left="0.7" right="0.7" top="0.75" bottom="0.75" header="0.3" footer="0.3"/>
  <x:tableParts count="1">
    <x:tablePart xmlns:r="http://schemas.openxmlformats.org/officeDocument/2006/relationships" r:id="R659a3269e60f493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2" hidden="0" customWidth="1"/>
    <x:col min="3" max="3" width="12" hidden="0" customWidth="1"/>
    <x:col min="4" max="4" width="14" hidden="0" customWidth="1"/>
    <x:col min="5" max="5" width="14" hidden="0" customWidth="1"/>
    <x:col min="6" max="6" width="16" hidden="0" customWidth="1"/>
    <x:col min="7" max="7" width="12" hidden="0" customWidth="1"/>
    <x:col min="8" max="8" width="15" hidden="0" customWidth="1"/>
    <x:col min="9" max="9" width="12" hidden="0" customWidth="1"/>
    <x:col min="10" max="10" width="13" hidden="0" customWidth="1"/>
    <x:col min="11" max="11" width="13" hidden="0" customWidth="1"/>
    <x:col min="12" max="12" width="14" hidden="0" customWidth="1"/>
    <x:col min="13" max="13" width="40" hidden="0" customWidth="1"/>
    <x:col min="14" max="14" width="25" hidden="0" customWidth="1"/>
    <x:col min="15" max="15" width="65" hidden="0" customWidth="1"/>
    <x:col min="16" max="16" width="55" hidden="0" customWidth="1"/>
  </x:cols>
  <x:sheetData>
    <x:row r="1" ht="34" customHeight="1">
      <x:c r="A1" s="4" t="str">
        <x:v>Feature-Level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</x:row>
    <x:row r="2" ht="29" customHeight="1">
      <x:c r="A2" s="11" t="str">
        <x:v>This sheet exposes the numerical inputs. Values are normalized to 0–1; uncertainty is handled in simulation.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</x:row>
    <x:row r="4" ht="32" customHeight="1">
      <x:c r="A4" s="79" t="str">
        <x:v>Company</x:v>
      </x:c>
      <x:c r="B4" s="79" t="str">
        <x:v>CPT</x:v>
      </x:c>
      <x:c r="C4" s="79" t="str">
        <x:v>Ahaan fit</x:v>
      </x:c>
      <x:c r="D4" s="79" t="str">
        <x:v>Semantic fit</x:v>
      </x:c>
      <x:c r="E4" s="79" t="str">
        <x:v>Opportunity</x:v>
      </x:c>
      <x:c r="F4" s="79" t="str">
        <x:v>Undergrad access</x:v>
      </x:c>
      <x:c r="G4" s="79" t="str">
        <x:v>Preference</x:v>
      </x:c>
      <x:c r="H4" s="79" t="str">
        <x:v>Network prior</x:v>
      </x:c>
      <x:c r="I4" s="79" t="str">
        <x:v>GPA</x:v>
      </x:c>
      <x:c r="J4" s="79" t="str">
        <x:v>Claude prior</x:v>
      </x:c>
      <x:c r="K4" s="79" t="str">
        <x:v>Evidence rows</x:v>
      </x:c>
      <x:c r="L4" s="79" t="str">
        <x:v>Evidence grade</x:v>
      </x:c>
      <x:c r="M4" s="79" t="str">
        <x:v>Target program</x:v>
      </x:c>
      <x:c r="N4" s="79" t="str">
        <x:v>Role family</x:v>
      </x:c>
      <x:c r="O4" s="79" t="str">
        <x:v>Why Ahaan</x:v>
      </x:c>
      <x:c r="P4" s="79" t="str">
        <x:v>Risks</x:v>
      </x:c>
    </x:row>
    <x:row r="5" ht="46" customHeight="1">
      <x:c r="A5" s="90" t="str">
        <x:v>Amazon</x:v>
      </x:c>
      <x:c r="B5" s="98" t="n">
        <x:v>0.9</x:v>
      </x:c>
      <x:c r="C5" s="98" t="n">
        <x:v>0.947228527793109</x:v>
      </x:c>
      <x:c r="D5" s="98" t="n">
        <x:v>0.6948568519540601</x:v>
      </x:c>
      <x:c r="E5" s="98" t="n">
        <x:v>0.5541363910247632</x:v>
      </x:c>
      <x:c r="F5" s="98" t="n">
        <x:v>0.35</x:v>
      </x:c>
      <x:c r="G5" s="98" t="n">
        <x:v>0.92</x:v>
      </x:c>
      <x:c r="H5" s="98" t="n">
        <x:v>0.5</x:v>
      </x:c>
      <x:c r="I5" s="98" t="n">
        <x:v>0.76</x:v>
      </x:c>
      <x:c r="J5" s="98" t="n">
        <x:v>0.7962732919254659</x:v>
      </x:c>
      <x:c r="K5" s="90" t="n">
        <x:v>2</x:v>
      </x:c>
      <x:c r="L5" s="90" t="str">
        <x:v>C</x:v>
      </x:c>
      <x:c r="M5" s="90" t="str">
        <x:v>Data Science Intern / Business Intelligence Engineer Intern</x:v>
      </x:c>
      <x:c r="N5" s="90" t="str">
        <x:v>Business Intelligence</x:v>
      </x:c>
      <x:c r="O5" s="90" t="str">
        <x:v>SQL/Tableau dashboarding on 30M+ donor records and decision-support work are direct evidence.</x:v>
      </x:c>
      <x:c r="P5" s="90" t="str">
        <x:v>Exact posting still controls CPT eligibility; LinkedIn network evidence pending</x:v>
      </x:c>
    </x:row>
    <x:row r="6" ht="46" customHeight="1">
      <x:c r="A6" s="90" t="str">
        <x:v>Charles River Associates</x:v>
      </x:c>
      <x:c r="B6" s="98" t="n">
        <x:v>0.82</x:v>
      </x:c>
      <x:c r="C6" s="98" t="n">
        <x:v>0.9159999999999999</x:v>
      </x:c>
      <x:c r="D6" s="98" t="n">
        <x:v>0</x:v>
      </x:c>
      <x:c r="E6" s="98" t="n">
        <x:v>0.7002979706226635</x:v>
      </x:c>
      <x:c r="F6" s="98" t="n">
        <x:v>0.9</x:v>
      </x:c>
      <x:c r="G6" s="98" t="n">
        <x:v>0.92</x:v>
      </x:c>
      <x:c r="H6" s="98" t="n">
        <x:v>0.5</x:v>
      </x:c>
      <x:c r="I6" s="98" t="n">
        <x:v>0.64</x:v>
      </x:c>
      <x:c r="J6" s="98" t="n">
        <x:v>0.9751552795031057</x:v>
      </x:c>
      <x:c r="K6" s="90" t="n">
        <x:v>1</x:v>
      </x:c>
      <x:c r="L6" s="90" t="str">
        <x:v>C</x:v>
      </x:c>
      <x:c r="M6" s="90" t="str">
        <x:v>Analyst Intern</x:v>
      </x:c>
      <x:c r="N6" s="90" t="str">
        <x:v>Economic Consulting</x:v>
      </x:c>
      <x:c r="O6" s="90" t="str">
        <x:v>CMDA + Economics, two publications and the incoming economics replication project create unusually direct fit.</x:v>
      </x:c>
      <x:c r="P6" s="90" t="str">
        <x:v>Exact posting still controls CPT eligibility; 3.31 GPA may sit below a preferred threshold; LinkedIn network evidence pending</x:v>
      </x:c>
    </x:row>
    <x:row r="7" ht="46" customHeight="1">
      <x:c r="A7" s="90" t="str">
        <x:v>Analysis Group</x:v>
      </x:c>
      <x:c r="B7" s="98" t="n">
        <x:v>0.82</x:v>
      </x:c>
      <x:c r="C7" s="98" t="n">
        <x:v>0.9165258838169883</x:v>
      </x:c>
      <x:c r="D7" s="98" t="n">
        <x:v>0.0035058921132557785</x:v>
      </x:c>
      <x:c r="E7" s="98" t="n">
        <x:v>0.671</x:v>
      </x:c>
      <x:c r="F7" s="98" t="n">
        <x:v>0.5</x:v>
      </x:c>
      <x:c r="G7" s="98" t="n">
        <x:v>0.92</x:v>
      </x:c>
      <x:c r="H7" s="98" t="n">
        <x:v>0.5</x:v>
      </x:c>
      <x:c r="I7" s="98" t="n">
        <x:v>0.64</x:v>
      </x:c>
      <x:c r="J7" s="98" t="n">
        <x:v>0.9850931677018634</x:v>
      </x:c>
      <x:c r="K7" s="90" t="n">
        <x:v>0</x:v>
      </x:c>
      <x:c r="L7" s="90" t="str">
        <x:v>D</x:v>
      </x:c>
      <x:c r="M7" s="90" t="str">
        <x:v>Analyst Intern</x:v>
      </x:c>
      <x:c r="N7" s="90" t="str">
        <x:v>Economic Consulting</x:v>
      </x:c>
      <x:c r="O7" s="90" t="str">
        <x:v>CMDA + Economics, two publications and the incoming economics replication project create unusually direct fit.</x:v>
      </x:c>
      <x:c r="P7" s="90" t="str">
        <x:v>Exact posting still controls CPT eligibility; 3.31 GPA may sit below a preferred threshold; No matching public role found in reviewed trackers; LinkedIn network evidence pending</x:v>
      </x:c>
    </x:row>
    <x:row r="8" ht="46" customHeight="1">
      <x:c r="A8" s="90" t="str">
        <x:v>Cornerstone Research</x:v>
      </x:c>
      <x:c r="B8" s="98" t="n">
        <x:v>0.82</x:v>
      </x:c>
      <x:c r="C8" s="98" t="n">
        <x:v>0.9165258838169883</x:v>
      </x:c>
      <x:c r="D8" s="98" t="n">
        <x:v>0.0035058921132557785</x:v>
      </x:c>
      <x:c r="E8" s="98" t="n">
        <x:v>0.671</x:v>
      </x:c>
      <x:c r="F8" s="98" t="n">
        <x:v>0.5</x:v>
      </x:c>
      <x:c r="G8" s="98" t="n">
        <x:v>0.92</x:v>
      </x:c>
      <x:c r="H8" s="98" t="n">
        <x:v>0.5</x:v>
      </x:c>
      <x:c r="I8" s="98" t="n">
        <x:v>0.64</x:v>
      </x:c>
      <x:c r="J8" s="98" t="n">
        <x:v>0.9801242236024844</x:v>
      </x:c>
      <x:c r="K8" s="90" t="n">
        <x:v>0</x:v>
      </x:c>
      <x:c r="L8" s="90" t="str">
        <x:v>D</x:v>
      </x:c>
      <x:c r="M8" s="90" t="str">
        <x:v>Analyst Intern</x:v>
      </x:c>
      <x:c r="N8" s="90" t="str">
        <x:v>Economic Consulting</x:v>
      </x:c>
      <x:c r="O8" s="90" t="str">
        <x:v>CMDA + Economics, two publications and the incoming economics replication project create unusually direct fit.</x:v>
      </x:c>
      <x:c r="P8" s="90" t="str">
        <x:v>Exact posting still controls CPT eligibility; 3.31 GPA may sit below a preferred threshold; No matching public role found in reviewed trackers; LinkedIn network evidence pending</x:v>
      </x:c>
    </x:row>
    <x:row r="9" ht="46" customHeight="1">
      <x:c r="A9" s="90" t="str">
        <x:v>Brattle Group</x:v>
      </x:c>
      <x:c r="B9" s="98" t="n">
        <x:v>0.82</x:v>
      </x:c>
      <x:c r="C9" s="98" t="n">
        <x:v>0.9159999999999999</x:v>
      </x:c>
      <x:c r="D9" s="98" t="n">
        <x:v>0</x:v>
      </x:c>
      <x:c r="E9" s="98" t="n">
        <x:v>0.671</x:v>
      </x:c>
      <x:c r="F9" s="98" t="n">
        <x:v>0.5</x:v>
      </x:c>
      <x:c r="G9" s="98" t="n">
        <x:v>0.92</x:v>
      </x:c>
      <x:c r="H9" s="98" t="n">
        <x:v>0.5</x:v>
      </x:c>
      <x:c r="I9" s="98" t="n">
        <x:v>0.64</x:v>
      </x:c>
      <x:c r="J9" s="98" t="n">
        <x:v>0.9652173913043478</x:v>
      </x:c>
      <x:c r="K9" s="90" t="n">
        <x:v>0</x:v>
      </x:c>
      <x:c r="L9" s="90" t="str">
        <x:v>D</x:v>
      </x:c>
      <x:c r="M9" s="90" t="str">
        <x:v>Research Analyst Intern</x:v>
      </x:c>
      <x:c r="N9" s="90" t="str">
        <x:v>Economic Consulting</x:v>
      </x:c>
      <x:c r="O9" s="90" t="str">
        <x:v>CMDA + Economics, two publications and the incoming economics replication project create unusually direct fit.</x:v>
      </x:c>
      <x:c r="P9" s="90" t="str">
        <x:v>Exact posting still controls CPT eligibility; 3.31 GPA may sit below a preferred threshold; No matching public role found in reviewed trackers; LinkedIn network evidence pending</x:v>
      </x:c>
    </x:row>
    <x:row r="10" ht="46" customHeight="1">
      <x:c r="A10" s="90" t="str">
        <x:v>Bates White</x:v>
      </x:c>
      <x:c r="B10" s="98" t="n">
        <x:v>0.82</x:v>
      </x:c>
      <x:c r="C10" s="98" t="n">
        <x:v>0.9159999999999999</x:v>
      </x:c>
      <x:c r="D10" s="98" t="n">
        <x:v>0</x:v>
      </x:c>
      <x:c r="E10" s="98" t="n">
        <x:v>0.671</x:v>
      </x:c>
      <x:c r="F10" s="98" t="n">
        <x:v>0.5</x:v>
      </x:c>
      <x:c r="G10" s="98" t="n">
        <x:v>0.92</x:v>
      </x:c>
      <x:c r="H10" s="98" t="n">
        <x:v>0.5</x:v>
      </x:c>
      <x:c r="I10" s="98" t="n">
        <x:v>0.64</x:v>
      </x:c>
      <x:c r="J10" s="98" t="n">
        <x:v>0.9552795031055901</x:v>
      </x:c>
      <x:c r="K10" s="90" t="n">
        <x:v>0</x:v>
      </x:c>
      <x:c r="L10" s="90" t="str">
        <x:v>D</x:v>
      </x:c>
      <x:c r="M10" s="90" t="str">
        <x:v>Consultant Intern</x:v>
      </x:c>
      <x:c r="N10" s="90" t="str">
        <x:v>Economic Consulting</x:v>
      </x:c>
      <x:c r="O10" s="90" t="str">
        <x:v>CMDA + Economics, two publications and the incoming economics replication project create unusually direct fit.</x:v>
      </x:c>
      <x:c r="P10" s="90" t="str">
        <x:v>Exact posting still controls CPT eligibility; 3.31 GPA may sit below a preferred threshold; No matching public role found in reviewed trackers; LinkedIn network evidence pending</x:v>
      </x:c>
    </x:row>
    <x:row r="11" ht="46" customHeight="1">
      <x:c r="A11" s="90" t="str">
        <x:v>Compass Lexecon</x:v>
      </x:c>
      <x:c r="B11" s="98" t="n">
        <x:v>0.82</x:v>
      </x:c>
      <x:c r="C11" s="98" t="n">
        <x:v>0.9165258838169883</x:v>
      </x:c>
      <x:c r="D11" s="98" t="n">
        <x:v>0.0035058921132557785</x:v>
      </x:c>
      <x:c r="E11" s="98" t="n">
        <x:v>0.671</x:v>
      </x:c>
      <x:c r="F11" s="98" t="n">
        <x:v>0.5</x:v>
      </x:c>
      <x:c r="G11" s="98" t="n">
        <x:v>0.92</x:v>
      </x:c>
      <x:c r="H11" s="98" t="n">
        <x:v>0.5</x:v>
      </x:c>
      <x:c r="I11" s="98" t="n">
        <x:v>0.64</x:v>
      </x:c>
      <x:c r="J11" s="98" t="n">
        <x:v>0.9602484472049688</x:v>
      </x:c>
      <x:c r="K11" s="90" t="n">
        <x:v>0</x:v>
      </x:c>
      <x:c r="L11" s="90" t="str">
        <x:v>D</x:v>
      </x:c>
      <x:c r="M11" s="90" t="str">
        <x:v>Analyst Intern</x:v>
      </x:c>
      <x:c r="N11" s="90" t="str">
        <x:v>Economic Consulting</x:v>
      </x:c>
      <x:c r="O11" s="90" t="str">
        <x:v>CMDA + Economics, two publications and the incoming economics replication project create unusually direct fit.</x:v>
      </x:c>
      <x:c r="P11" s="90" t="str">
        <x:v>Exact posting still controls CPT eligibility; 3.31 GPA may sit below a preferred threshold; No matching public role found in reviewed trackers; LinkedIn network evidence pending</x:v>
      </x:c>
    </x:row>
    <x:row r="12" ht="46" customHeight="1">
      <x:c r="A12" s="90" t="str">
        <x:v>NERA Economic Consulting</x:v>
      </x:c>
      <x:c r="B12" s="98" t="n">
        <x:v>0.82</x:v>
      </x:c>
      <x:c r="C12" s="98" t="n">
        <x:v>0.9159999999999999</x:v>
      </x:c>
      <x:c r="D12" s="98" t="n">
        <x:v>0</x:v>
      </x:c>
      <x:c r="E12" s="98" t="n">
        <x:v>0.671</x:v>
      </x:c>
      <x:c r="F12" s="98" t="n">
        <x:v>0.5</x:v>
      </x:c>
      <x:c r="G12" s="98" t="n">
        <x:v>0.92</x:v>
      </x:c>
      <x:c r="H12" s="98" t="n">
        <x:v>0.5</x:v>
      </x:c>
      <x:c r="I12" s="98" t="n">
        <x:v>0.64</x:v>
      </x:c>
      <x:c r="J12" s="98" t="n">
        <x:v>0.9701863354037267</x:v>
      </x:c>
      <x:c r="K12" s="90" t="n">
        <x:v>0</x:v>
      </x:c>
      <x:c r="L12" s="90" t="str">
        <x:v>D</x:v>
      </x:c>
      <x:c r="M12" s="90" t="str">
        <x:v>Research Associate Intern</x:v>
      </x:c>
      <x:c r="N12" s="90" t="str">
        <x:v>Economic Consulting</x:v>
      </x:c>
      <x:c r="O12" s="90" t="str">
        <x:v>CMDA + Economics, two publications and the incoming economics replication project create unusually direct fit.</x:v>
      </x:c>
      <x:c r="P12" s="90" t="str">
        <x:v>Exact posting still controls CPT eligibility; 3.31 GPA may sit below a preferred threshold; No matching public role found in reviewed trackers; LinkedIn network evidence pending</x:v>
      </x:c>
    </x:row>
    <x:row r="13" ht="46" customHeight="1">
      <x:c r="A13" s="90" t="str">
        <x:v>IBM</x:v>
      </x:c>
      <x:c r="B13" s="98" t="n">
        <x:v>0.9</x:v>
      </x:c>
      <x:c r="C13" s="98" t="n">
        <x:v>0.8617173837394074</x:v>
      </x:c>
      <x:c r="D13" s="98" t="n">
        <x:v>0.7314492249293822</x:v>
      </x:c>
      <x:c r="E13" s="98" t="n">
        <x:v>0.5826314717538699</x:v>
      </x:c>
      <x:c r="F13" s="98" t="n">
        <x:v>0.75</x:v>
      </x:c>
      <x:c r="G13" s="98" t="n">
        <x:v>0.88</x:v>
      </x:c>
      <x:c r="H13" s="98" t="n">
        <x:v>0.5</x:v>
      </x:c>
      <x:c r="I13" s="98" t="n">
        <x:v>0.76</x:v>
      </x:c>
      <x:c r="J13" s="98" t="n">
        <x:v>0.8857142857142858</x:v>
      </x:c>
      <x:c r="K13" s="90" t="n">
        <x:v>1</x:v>
      </x:c>
      <x:c r="L13" s="90" t="str">
        <x:v>C</x:v>
      </x:c>
      <x:c r="M13" s="90" t="str">
        <x:v>Data Science Intern</x:v>
      </x:c>
      <x:c r="N13" s="90" t="str">
        <x:v>Data Science</x:v>
      </x:c>
      <x:c r="O13" s="90" t="str">
        <x:v>ALSAC data science, propensity modeling, DataRobot, Python/SQL and ML research form a clear progression.</x:v>
      </x:c>
      <x:c r="P13" s="90" t="str">
        <x:v>Exact posting still controls CPT eligibility; LinkedIn network evidence pending</x:v>
      </x:c>
    </x:row>
    <x:row r="14" ht="46" customHeight="1">
      <x:c r="A14" s="90" t="str">
        <x:v>Nielsen / NielsenIQ</x:v>
      </x:c>
      <x:c r="B14" s="98" t="n">
        <x:v>0.82</x:v>
      </x:c>
      <x:c r="C14" s="98" t="n">
        <x:v>0.8963550004041585</x:v>
      </x:c>
      <x:c r="D14" s="98" t="n">
        <x:v>0.5290333360277235</x:v>
      </x:c>
      <x:c r="E14" s="98" t="n">
        <x:v>0.588206815277534</x:v>
      </x:c>
      <x:c r="F14" s="98" t="n">
        <x:v>0.75</x:v>
      </x:c>
      <x:c r="G14" s="98" t="n">
        <x:v>0.92</x:v>
      </x:c>
      <x:c r="H14" s="98" t="n">
        <x:v>0.5</x:v>
      </x:c>
      <x:c r="I14" s="98" t="n">
        <x:v>0.76</x:v>
      </x:c>
      <x:c r="J14" s="98" t="n">
        <x:v>0.9204968944099379</x:v>
      </x:c>
      <x:c r="K14" s="90" t="n">
        <x:v>1</x:v>
      </x:c>
      <x:c r="L14" s="90" t="str">
        <x:v>C</x:v>
      </x:c>
      <x:c r="M14" s="90" t="str">
        <x:v>Data Science Intern</x:v>
      </x:c>
      <x:c r="N14" s="90" t="str">
        <x:v>Data Science</x:v>
      </x:c>
      <x:c r="O14" s="90" t="str">
        <x:v>ALSAC data science, propensity modeling, DataRobot, Python/SQL and ML research form a clear progression. Consumer insights and segmentation are especially aligned with his prior work.</x:v>
      </x:c>
      <x:c r="P14" s="90" t="str">
        <x:v>Exact posting still controls CPT eligibility; LinkedIn network evidence pending</x:v>
      </x:c>
    </x:row>
    <x:row r="15" ht="46" customHeight="1">
      <x:c r="A15" s="90" t="str">
        <x:v>Salesforce</x:v>
      </x:c>
      <x:c r="B15" s="98" t="n">
        <x:v>0.82</x:v>
      </x:c>
      <x:c r="C15" s="98" t="n">
        <x:v>0.9215293418102584</x:v>
      </x:c>
      <x:c r="D15" s="98" t="n">
        <x:v>0.4768622787350561</x:v>
      </x:c>
      <x:c r="E15" s="98" t="n">
        <x:v>0.6646103548061917</x:v>
      </x:c>
      <x:c r="F15" s="98" t="n">
        <x:v>0.75</x:v>
      </x:c>
      <x:c r="G15" s="98" t="n">
        <x:v>0.92</x:v>
      </x:c>
      <x:c r="H15" s="98" t="n">
        <x:v>0.5</x:v>
      </x:c>
      <x:c r="I15" s="98" t="n">
        <x:v>0.76</x:v>
      </x:c>
      <x:c r="J15" s="98" t="n">
        <x:v>0.7217391304347827</x:v>
      </x:c>
      <x:c r="K15" s="90" t="n">
        <x:v>2</x:v>
      </x:c>
      <x:c r="L15" s="90" t="str">
        <x:v>C</x:v>
      </x:c>
      <x:c r="M15" s="90" t="str">
        <x:v>Futureforce Data Analytics Intern</x:v>
      </x:c>
      <x:c r="N15" s="90" t="str">
        <x:v>Data Analytics</x:v>
      </x:c>
      <x:c r="O15" s="90" t="str">
        <x:v>Three analytics internships plus SQL, Python, Tableau, forecasting and segmentation directly match the lane.</x:v>
      </x:c>
      <x:c r="P15" s="90" t="str">
        <x:v>Exact posting still controls CPT eligibility; LinkedIn network evidence pending</x:v>
      </x:c>
    </x:row>
    <x:row r="16" ht="46" customHeight="1">
      <x:c r="A16" s="90" t="str">
        <x:v>DoorDash</x:v>
      </x:c>
      <x:c r="B16" s="98" t="n">
        <x:v>0.82</x:v>
      </x:c>
      <x:c r="C16" s="98" t="n">
        <x:v>0.9517386486719563</x:v>
      </x:c>
      <x:c r="D16" s="98" t="n">
        <x:v>0.898257657813042</x:v>
      </x:c>
      <x:c r="E16" s="98" t="n">
        <x:v>0.545</x:v>
      </x:c>
      <x:c r="F16" s="98" t="n">
        <x:v>0.5</x:v>
      </x:c>
      <x:c r="G16" s="98" t="n">
        <x:v>0.88</x:v>
      </x:c>
      <x:c r="H16" s="98" t="n">
        <x:v>0.5</x:v>
      </x:c>
      <x:c r="I16" s="98" t="n">
        <x:v>0.76</x:v>
      </x:c>
      <x:c r="J16" s="98" t="n">
        <x:v>0.8757763975155279</x:v>
      </x:c>
      <x:c r="K16" s="90" t="n">
        <x:v>0</x:v>
      </x:c>
      <x:c r="L16" s="90" t="str">
        <x:v>D</x:v>
      </x:c>
      <x:c r="M16" s="90" t="str">
        <x:v>Data Science / Analytics Intern</x:v>
      </x:c>
      <x:c r="N16" s="90" t="str">
        <x:v>Data Science</x:v>
      </x:c>
      <x:c r="O16" s="90" t="str">
        <x:v>ALSAC data science, propensity modeling, DataRobot, Python/SQL and ML research form a clear progression. Marketplace/customer behavior is a direct extension of his growth and consumer analytics work.</x:v>
      </x:c>
      <x:c r="P16" s="90" t="str">
        <x:v>Exact posting still controls CPT eligibility; Observed roles show graduate-degree skew; No matching public role found in reviewed trackers; LinkedIn network evidence pending</x:v>
      </x:c>
    </x:row>
    <x:row r="17" ht="46" customHeight="1">
      <x:c r="A17" s="90" t="str">
        <x:v>Airbnb</x:v>
      </x:c>
      <x:c r="B17" s="98" t="n">
        <x:v>0.82</x:v>
      </x:c>
      <x:c r="C17" s="98" t="n">
        <x:v>0.9265889448951525</x:v>
      </x:c>
      <x:c r="D17" s="98" t="n">
        <x:v>0.7305929659676829</x:v>
      </x:c>
      <x:c r="E17" s="98" t="n">
        <x:v>0.6620160994445603</x:v>
      </x:c>
      <x:c r="F17" s="98" t="n">
        <x:v>0.75</x:v>
      </x:c>
      <x:c r="G17" s="98" t="n">
        <x:v>0.88</x:v>
      </x:c>
      <x:c r="H17" s="98" t="n">
        <x:v>0.5</x:v>
      </x:c>
      <x:c r="I17" s="98" t="n">
        <x:v>0.76</x:v>
      </x:c>
      <x:c r="J17" s="98" t="n">
        <x:v>0.746583850931677</x:v>
      </x:c>
      <x:c r="K17" s="90" t="n">
        <x:v>2</x:v>
      </x:c>
      <x:c r="L17" s="90" t="str">
        <x:v>C</x:v>
      </x:c>
      <x:c r="M17" s="90" t="str">
        <x:v>Data Science Intern</x:v>
      </x:c>
      <x:c r="N17" s="90" t="str">
        <x:v>Data Science</x:v>
      </x:c>
      <x:c r="O17" s="90" t="str">
        <x:v>ALSAC data science, propensity modeling, DataRobot, Python/SQL and ML research form a clear progression. Marketplace/customer behavior is a direct extension of his growth and consumer analytics work.</x:v>
      </x:c>
      <x:c r="P17" s="90" t="str">
        <x:v>Exact posting still controls CPT eligibility; LinkedIn network evidence pending</x:v>
      </x:c>
    </x:row>
    <x:row r="18" ht="46" customHeight="1">
      <x:c r="A18" s="90" t="str">
        <x:v>Appian</x:v>
      </x:c>
      <x:c r="B18" s="98" t="n">
        <x:v>0.62</x:v>
      </x:c>
      <x:c r="C18" s="98" t="n">
        <x:v>1</x:v>
      </x:c>
      <x:c r="D18" s="98" t="n">
        <x:v>0.915728247050538</x:v>
      </x:c>
      <x:c r="E18" s="98" t="n">
        <x:v>0.644</x:v>
      </x:c>
      <x:c r="F18" s="98" t="n">
        <x:v>0.5</x:v>
      </x:c>
      <x:c r="G18" s="98" t="n">
        <x:v>0.92</x:v>
      </x:c>
      <x:c r="H18" s="98" t="n">
        <x:v>0.78</x:v>
      </x:c>
      <x:c r="I18" s="98" t="n">
        <x:v>0.76</x:v>
      </x:c>
      <x:c r="J18" s="98" t="n">
        <x:v>0.9950310559006212</x:v>
      </x:c>
      <x:c r="K18" s="90" t="n">
        <x:v>0</x:v>
      </x:c>
      <x:c r="L18" s="90" t="str">
        <x:v>D</x:v>
      </x:c>
      <x:c r="M18" s="90" t="str">
        <x:v>Data/Solutions Intern</x:v>
      </x:c>
      <x:c r="N18" s="90" t="str">
        <x:v>Data Analytics</x:v>
      </x:c>
      <x:c r="O18" s="90" t="str">
        <x:v>Three analytics internships plus SQL, Python, Tableau, forecasting and segmentation directly match the lane. The Virginia/VT pipeline adds practical recruiting access.</x:v>
      </x:c>
      <x:c r="P18" s="90" t="str">
        <x:v>CPT/future-sponsorship wording must be verified; No matching public role found in reviewed trackers</x:v>
      </x:c>
    </x:row>
    <x:row r="19" ht="46" customHeight="1">
      <x:c r="A19" s="90" t="str">
        <x:v>Cvent</x:v>
      </x:c>
      <x:c r="B19" s="98" t="n">
        <x:v>0.62</x:v>
      </x:c>
      <x:c r="C19" s="98" t="n">
        <x:v>1</x:v>
      </x:c>
      <x:c r="D19" s="98" t="n">
        <x:v>1</x:v>
      </x:c>
      <x:c r="E19" s="98" t="n">
        <x:v>0.644</x:v>
      </x:c>
      <x:c r="F19" s="98" t="n">
        <x:v>0.5</x:v>
      </x:c>
      <x:c r="G19" s="98" t="n">
        <x:v>0.92</x:v>
      </x:c>
      <x:c r="H19" s="98" t="n">
        <x:v>0.78</x:v>
      </x:c>
      <x:c r="I19" s="98" t="n">
        <x:v>0.76</x:v>
      </x:c>
      <x:c r="J19" s="98" t="n">
        <x:v>0.9900621118012423</x:v>
      </x:c>
      <x:c r="K19" s="90" t="n">
        <x:v>0</x:v>
      </x:c>
      <x:c r="L19" s="90" t="str">
        <x:v>D</x:v>
      </x:c>
      <x:c r="M19" s="90" t="str">
        <x:v>Data Analytics Intern</x:v>
      </x:c>
      <x:c r="N19" s="90" t="str">
        <x:v>Data Analytics</x:v>
      </x:c>
      <x:c r="O19" s="90" t="str">
        <x:v>Three analytics internships plus SQL, Python, Tableau, forecasting and segmentation directly match the lane. The Virginia/VT pipeline adds practical recruiting access.</x:v>
      </x:c>
      <x:c r="P19" s="90" t="str">
        <x:v>CPT/future-sponsorship wording must be verified; No matching public role found in reviewed trackers</x:v>
      </x:c>
    </x:row>
    <x:row r="20" ht="46" customHeight="1">
      <x:c r="A20" s="90" t="str">
        <x:v>Wayfair</x:v>
      </x:c>
      <x:c r="B20" s="98" t="n">
        <x:v>0.82</x:v>
      </x:c>
      <x:c r="C20" s="98" t="n">
        <x:v>0.9167079075710682</x:v>
      </x:c>
      <x:c r="D20" s="98" t="n">
        <x:v>0.7647193838071218</x:v>
      </x:c>
      <x:c r="E20" s="98" t="n">
        <x:v>0.545</x:v>
      </x:c>
      <x:c r="F20" s="98" t="n">
        <x:v>0.5</x:v>
      </x:c>
      <x:c r="G20" s="98" t="n">
        <x:v>0.88</x:v>
      </x:c>
      <x:c r="H20" s="98" t="n">
        <x:v>0.5</x:v>
      </x:c>
      <x:c r="I20" s="98" t="n">
        <x:v>0.76</x:v>
      </x:c>
      <x:c r="J20" s="98" t="n">
        <x:v>0.8509316770186336</x:v>
      </x:c>
      <x:c r="K20" s="90" t="n">
        <x:v>0</x:v>
      </x:c>
      <x:c r="L20" s="90" t="str">
        <x:v>D</x:v>
      </x:c>
      <x:c r="M20" s="90" t="str">
        <x:v>Data Science Intern</x:v>
      </x:c>
      <x:c r="N20" s="90" t="str">
        <x:v>Data Science</x:v>
      </x:c>
      <x:c r="O20" s="90" t="str">
        <x:v>ALSAC data science, propensity modeling, DataRobot, Python/SQL and ML research form a clear progression. Marketplace/customer behavior is a direct extension of his growth and consumer analytics work.</x:v>
      </x:c>
      <x:c r="P20" s="90" t="str">
        <x:v>Exact posting still controls CPT eligibility; Observed roles show graduate-degree skew; No matching public role found in reviewed trackers; LinkedIn network evidence pending</x:v>
      </x:c>
    </x:row>
    <x:row r="21" ht="46" customHeight="1">
      <x:c r="A21" s="90" t="str">
        <x:v>Snowflake</x:v>
      </x:c>
      <x:c r="B21" s="98" t="n">
        <x:v>0.82</x:v>
      </x:c>
      <x:c r="C21" s="98" t="n">
        <x:v>0.846156844499341</x:v>
      </x:c>
      <x:c r="D21" s="98" t="n">
        <x:v>0.6277122966622734</x:v>
      </x:c>
      <x:c r="E21" s="98" t="n">
        <x:v>0.7407142857142858</x:v>
      </x:c>
      <x:c r="F21" s="98" t="n">
        <x:v>0.7499999999999999</x:v>
      </x:c>
      <x:c r="G21" s="98" t="n">
        <x:v>0.92</x:v>
      </x:c>
      <x:c r="H21" s="98" t="n">
        <x:v>0.5</x:v>
      </x:c>
      <x:c r="I21" s="98" t="n">
        <x:v>0.76</x:v>
      </x:c>
      <x:c r="J21" s="98" t="n">
        <x:v>0.7068322981366459</x:v>
      </x:c>
      <x:c r="K21" s="90" t="n">
        <x:v>4</x:v>
      </x:c>
      <x:c r="L21" s="90" t="str">
        <x:v>B</x:v>
      </x:c>
      <x:c r="M21" s="90" t="str">
        <x:v>Data Science Intern</x:v>
      </x:c>
      <x:c r="N21" s="90" t="str">
        <x:v>Data Science</x:v>
      </x:c>
      <x:c r="O21" s="90" t="str">
        <x:v>ALSAC data science, propensity modeling, DataRobot, Python/SQL and ML research form a clear progression.</x:v>
      </x:c>
      <x:c r="P21" s="90" t="str">
        <x:v>Exact posting still controls CPT eligibility; LinkedIn network evidence pending</x:v>
      </x:c>
    </x:row>
    <x:row r="22" ht="46" customHeight="1">
      <x:c r="A22" s="90" t="str">
        <x:v>eBay</x:v>
      </x:c>
      <x:c r="B22" s="98" t="n">
        <x:v>0.82</x:v>
      </x:c>
      <x:c r="C22" s="98" t="n">
        <x:v>0.9374191636354638</x:v>
      </x:c>
      <x:c r="D22" s="98" t="n">
        <x:v>0.902794424236426</x:v>
      </x:c>
      <x:c r="E22" s="98" t="n">
        <x:v>0.5826314717538699</x:v>
      </x:c>
      <x:c r="F22" s="98" t="n">
        <x:v>0.75</x:v>
      </x:c>
      <x:c r="G22" s="98" t="n">
        <x:v>0.88</x:v>
      </x:c>
      <x:c r="H22" s="98" t="n">
        <x:v>0.5</x:v>
      </x:c>
      <x:c r="I22" s="98" t="n">
        <x:v>0.76</x:v>
      </x:c>
      <x:c r="J22" s="98" t="n">
        <x:v>0.6770186335403727</x:v>
      </x:c>
      <x:c r="K22" s="90" t="n">
        <x:v>1</x:v>
      </x:c>
      <x:c r="L22" s="90" t="str">
        <x:v>C</x:v>
      </x:c>
      <x:c r="M22" s="90" t="str">
        <x:v>Data Science Intern</x:v>
      </x:c>
      <x:c r="N22" s="90" t="str">
        <x:v>Data Science</x:v>
      </x:c>
      <x:c r="O22" s="90" t="str">
        <x:v>ALSAC data science, propensity modeling, DataRobot, Python/SQL and ML research form a clear progression. Marketplace/customer behavior is a direct extension of his growth and consumer analytics work.</x:v>
      </x:c>
      <x:c r="P22" s="90" t="str">
        <x:v>Exact posting still controls CPT eligibility; LinkedIn network evidence pending</x:v>
      </x:c>
    </x:row>
    <x:row r="23" ht="46" customHeight="1">
      <x:c r="A23" s="90" t="str">
        <x:v>Mastercard</x:v>
      </x:c>
      <x:c r="B23" s="98" t="n">
        <x:v>0.82</x:v>
      </x:c>
      <x:c r="C23" s="98" t="n">
        <x:v>0.965798780644392</x:v>
      </x:c>
      <x:c r="D23" s="98" t="n">
        <x:v>0.8919918709626118</x:v>
      </x:c>
      <x:c r="E23" s="98" t="n">
        <x:v>0.545</x:v>
      </x:c>
      <x:c r="F23" s="98" t="n">
        <x:v>0.5</x:v>
      </x:c>
      <x:c r="G23" s="98" t="n">
        <x:v>0.92</x:v>
      </x:c>
      <x:c r="H23" s="98" t="n">
        <x:v>0.5</x:v>
      </x:c>
      <x:c r="I23" s="98" t="n">
        <x:v>0.76</x:v>
      </x:c>
      <x:c r="J23" s="98" t="n">
        <x:v>0.6273291925465838</x:v>
      </x:c>
      <x:c r="K23" s="90" t="n">
        <x:v>0</x:v>
      </x:c>
      <x:c r="L23" s="90" t="str">
        <x:v>D</x:v>
      </x:c>
      <x:c r="M23" s="90" t="str">
        <x:v>Data Science / Analytics Intern (Launch)</x:v>
      </x:c>
      <x:c r="N23" s="90" t="str">
        <x:v>Data Science</x:v>
      </x:c>
      <x:c r="O23" s="90" t="str">
        <x:v>ALSAC data science, propensity modeling, DataRobot, Python/SQL and ML research form a clear progression. Payments and consumer-spend analytics closely match his consumer-behavior and segmentation experience.</x:v>
      </x:c>
      <x:c r="P23" s="90" t="str">
        <x:v>Exact posting still controls CPT eligibility; Observed roles show graduate-degree skew; No matching public role found in reviewed trackers; LinkedIn network evidence pending</x:v>
      </x:c>
    </x:row>
    <x:row r="24" ht="46" customHeight="1">
      <x:c r="A24" s="90" t="str">
        <x:v>American Express</x:v>
      </x:c>
      <x:c r="B24" s="98" t="n">
        <x:v>0.82</x:v>
      </x:c>
      <x:c r="C24" s="98" t="n">
        <x:v>0.9089653895831162</x:v>
      </x:c>
      <x:c r="D24" s="98" t="n">
        <x:v>0.5131025972207734</x:v>
      </x:c>
      <x:c r="E24" s="98" t="n">
        <x:v>0.6275363042723033</x:v>
      </x:c>
      <x:c r="F24" s="98" t="n">
        <x:v>1</x:v>
      </x:c>
      <x:c r="G24" s="98" t="n">
        <x:v>0.92</x:v>
      </x:c>
      <x:c r="H24" s="98" t="n">
        <x:v>0.5</x:v>
      </x:c>
      <x:c r="I24" s="98" t="n">
        <x:v>0.76</x:v>
      </x:c>
      <x:c r="J24" s="98" t="n">
        <x:v>0.622360248447205</x:v>
      </x:c>
      <x:c r="K24" s="90" t="n">
        <x:v>1</x:v>
      </x:c>
      <x:c r="L24" s="90" t="str">
        <x:v>C</x:v>
      </x:c>
      <x:c r="M24" s="90" t="str">
        <x:v>Data Science Summer Intern</x:v>
      </x:c>
      <x:c r="N24" s="90" t="str">
        <x:v>Data Science</x:v>
      </x:c>
      <x:c r="O24" s="90" t="str">
        <x:v>ALSAC data science, propensity modeling, DataRobot, Python/SQL and ML research form a clear progression. Payments and consumer-spend analytics closely match his consumer-behavior and segmentation experience.</x:v>
      </x:c>
      <x:c r="P24" s="90" t="str">
        <x:v>Exact posting still controls CPT eligibility; LinkedIn network evidence pending</x:v>
      </x:c>
    </x:row>
    <x:row r="25" ht="46" customHeight="1">
      <x:c r="A25" s="90" t="str">
        <x:v>Intel</x:v>
      </x:c>
      <x:c r="B25" s="98" t="n">
        <x:v>0.9</x:v>
      </x:c>
      <x:c r="C25" s="98" t="n">
        <x:v>0.9019999999999999</x:v>
      </x:c>
      <x:c r="D25" s="98" t="n">
        <x:v>1</x:v>
      </x:c>
      <x:c r="E25" s="98" t="n">
        <x:v>0.5965525840432369</x:v>
      </x:c>
      <x:c r="F25" s="98" t="n">
        <x:v>1</x:v>
      </x:c>
      <x:c r="G25" s="98" t="n">
        <x:v>0.62</x:v>
      </x:c>
      <x:c r="H25" s="98" t="n">
        <x:v>0.5</x:v>
      </x:c>
      <x:c r="I25" s="98" t="n">
        <x:v>0.76</x:v>
      </x:c>
      <x:c r="J25" s="98" t="n">
        <x:v>0.7316770186335404</x:v>
      </x:c>
      <x:c r="K25" s="90" t="n">
        <x:v>1</x:v>
      </x:c>
      <x:c r="L25" s="90" t="str">
        <x:v>C</x:v>
      </x:c>
      <x:c r="M25" s="90" t="str">
        <x:v>Data Science / Analytics Intern</x:v>
      </x:c>
      <x:c r="N25" s="90" t="str">
        <x:v>Data Science</x:v>
      </x:c>
      <x:c r="O25" s="90" t="str">
        <x:v>ALSAC data science, propensity modeling, DataRobot, Python/SQL and ML research form a clear progression.</x:v>
      </x:c>
      <x:c r="P25" s="90" t="str">
        <x:v>Exact posting still controls CPT eligibility; LinkedIn network evidence pending</x:v>
      </x:c>
    </x:row>
    <x:row r="26" ht="46" customHeight="1">
      <x:c r="A26" s="90" t="str">
        <x:v>Cisco</x:v>
      </x:c>
      <x:c r="B26" s="98" t="n">
        <x:v>0.82</x:v>
      </x:c>
      <x:c r="C26" s="98" t="n">
        <x:v>0.837352078057451</x:v>
      </x:c>
      <x:c r="D26" s="98" t="n">
        <x:v>0.569013853716341</x:v>
      </x:c>
      <x:c r="E26" s="98" t="n">
        <x:v>0.5624132657377875</x:v>
      </x:c>
      <x:c r="F26" s="98" t="n">
        <x:v>0.75</x:v>
      </x:c>
      <x:c r="G26" s="98" t="n">
        <x:v>0.88</x:v>
      </x:c>
      <x:c r="H26" s="98" t="n">
        <x:v>0.5</x:v>
      </x:c>
      <x:c r="I26" s="98" t="n">
        <x:v>0.76</x:v>
      </x:c>
      <x:c r="J26" s="98" t="n">
        <x:v>0.8807453416149068</x:v>
      </x:c>
      <x:c r="K26" s="90" t="n">
        <x:v>1</x:v>
      </x:c>
      <x:c r="L26" s="90" t="str">
        <x:v>C</x:v>
      </x:c>
      <x:c r="M26" s="90" t="str">
        <x:v>Data Science / Analytics Intern</x:v>
      </x:c>
      <x:c r="N26" s="90" t="str">
        <x:v>Data Science</x:v>
      </x:c>
      <x:c r="O26" s="90" t="str">
        <x:v>ALSAC data science, propensity modeling, DataRobot, Python/SQL and ML research form a clear progression.</x:v>
      </x:c>
      <x:c r="P26" s="90" t="str">
        <x:v>Exact posting still controls CPT eligibility; LinkedIn network evidence pending</x:v>
      </x:c>
    </x:row>
    <x:row r="27" ht="46" customHeight="1">
      <x:c r="A27" s="90" t="str">
        <x:v>CGI</x:v>
      </x:c>
      <x:c r="B27" s="98" t="n">
        <x:v>0.62</x:v>
      </x:c>
      <x:c r="C27" s="98" t="n">
        <x:v>0.9320660976600494</x:v>
      </x:c>
      <x:c r="D27" s="98" t="n">
        <x:v>0.5337739844003284</x:v>
      </x:c>
      <x:c r="E27" s="98" t="n">
        <x:v>0.635</x:v>
      </x:c>
      <x:c r="F27" s="98" t="n">
        <x:v>0.5</x:v>
      </x:c>
      <x:c r="G27" s="98" t="n">
        <x:v>0.92</x:v>
      </x:c>
      <x:c r="H27" s="98" t="n">
        <x:v>0.78</x:v>
      </x:c>
      <x:c r="I27" s="98" t="n">
        <x:v>0.6799999999999999</x:v>
      </x:c>
      <x:c r="J27" s="98" t="n">
        <x:v>0.8906832298136645</x:v>
      </x:c>
      <x:c r="K27" s="90" t="n">
        <x:v>0</x:v>
      </x:c>
      <x:c r="L27" s="90" t="str">
        <x:v>D</x:v>
      </x:c>
      <x:c r="M27" s="90" t="str">
        <x:v>Data Analytics Intern</x:v>
      </x:c>
      <x:c r="N27" s="90" t="str">
        <x:v>Analytics Consulting</x:v>
      </x:c>
      <x:c r="O27" s="90" t="str">
        <x:v>Technical analytics plus economics, research and residential leadership support client-facing analytical work. The Virginia/VT pipeline adds practical recruiting access.</x:v>
      </x:c>
      <x:c r="P27" s="90" t="str">
        <x:v>CPT/future-sponsorship wording must be verified; 3.31 GPA may sit below a preferred threshold; No matching public role found in reviewed trackers</x:v>
      </x:c>
    </x:row>
    <x:row r="28" ht="46" customHeight="1">
      <x:c r="A28" s="90" t="str">
        <x:v>ServiceNow</x:v>
      </x:c>
      <x:c r="B28" s="98" t="n">
        <x:v>0.82</x:v>
      </x:c>
      <x:c r="C28" s="98" t="n">
        <x:v>0.8867386486719564</x:v>
      </x:c>
      <x:c r="D28" s="98" t="n">
        <x:v>0.898257657813042</x:v>
      </x:c>
      <x:c r="E28" s="98" t="n">
        <x:v>0.545</x:v>
      </x:c>
      <x:c r="F28" s="98" t="n">
        <x:v>0.5</x:v>
      </x:c>
      <x:c r="G28" s="98" t="n">
        <x:v>0.92</x:v>
      </x:c>
      <x:c r="H28" s="98" t="n">
        <x:v>0.5</x:v>
      </x:c>
      <x:c r="I28" s="98" t="n">
        <x:v>0.76</x:v>
      </x:c>
      <x:c r="J28" s="98" t="n">
        <x:v>0.6968944099378882</x:v>
      </x:c>
      <x:c r="K28" s="90" t="n">
        <x:v>0</x:v>
      </x:c>
      <x:c r="L28" s="90" t="str">
        <x:v>D</x:v>
      </x:c>
      <x:c r="M28" s="90" t="str">
        <x:v>Data Science / Analytics Intern</x:v>
      </x:c>
      <x:c r="N28" s="90" t="str">
        <x:v>Data Science</x:v>
      </x:c>
      <x:c r="O28" s="90" t="str">
        <x:v>ALSAC data science, propensity modeling, DataRobot, Python/SQL and ML research form a clear progression.</x:v>
      </x:c>
      <x:c r="P28" s="90" t="str">
        <x:v>Exact posting still controls CPT eligibility; Observed roles show graduate-degree skew; No matching public role found in reviewed trackers; LinkedIn network evidence pending</x:v>
      </x:c>
    </x:row>
    <x:row r="29" ht="46" customHeight="1">
      <x:c r="A29" s="90" t="str">
        <x:v>Instacart</x:v>
      </x:c>
      <x:c r="B29" s="98" t="n">
        <x:v>0.82</x:v>
      </x:c>
      <x:c r="C29" s="98" t="n">
        <x:v>0.8685297289133147</x:v>
      </x:c>
      <x:c r="D29" s="98" t="n">
        <x:v>0.34353152608876475</x:v>
      </x:c>
      <x:c r="E29" s="98" t="n">
        <x:v>0.4665939351170145</x:v>
      </x:c>
      <x:c r="F29" s="98" t="n">
        <x:v>0.05</x:v>
      </x:c>
      <x:c r="G29" s="98" t="n">
        <x:v>0.88</x:v>
      </x:c>
      <x:c r="H29" s="98" t="n">
        <x:v>0.5</x:v>
      </x:c>
      <x:c r="I29" s="98" t="n">
        <x:v>0.76</x:v>
      </x:c>
      <x:c r="J29" s="98" t="n">
        <x:v>0.870807453416149</x:v>
      </x:c>
      <x:c r="K29" s="90" t="n">
        <x:v>1</x:v>
      </x:c>
      <x:c r="L29" s="90" t="str">
        <x:v>C</x:v>
      </x:c>
      <x:c r="M29" s="90" t="str">
        <x:v>Data Science / Economics Intern</x:v>
      </x:c>
      <x:c r="N29" s="90" t="str">
        <x:v>Data Science</x:v>
      </x:c>
      <x:c r="O29" s="90" t="str">
        <x:v>ALSAC data science, propensity modeling, DataRobot, Python/SQL and ML research form a clear progression. Marketplace/customer behavior is a direct extension of his growth and consumer analytics work.</x:v>
      </x:c>
      <x:c r="P29" s="90" t="str">
        <x:v>Exact posting still controls CPT eligibility; Observed roles show graduate-degree skew; LinkedIn network evidence pending</x:v>
      </x:c>
    </x:row>
    <x:row r="30" ht="46" customHeight="1">
      <x:c r="A30" s="90" t="str">
        <x:v>Spotify</x:v>
      </x:c>
      <x:c r="B30" s="98" t="n">
        <x:v>0.82</x:v>
      </x:c>
      <x:c r="C30" s="98" t="n">
        <x:v>0.7993309592368839</x:v>
      </x:c>
      <x:c r="D30" s="98" t="n">
        <x:v>0.3155397282458927</x:v>
      </x:c>
      <x:c r="E30" s="98" t="n">
        <x:v>0.6033558152410012</x:v>
      </x:c>
      <x:c r="F30" s="98" t="n">
        <x:v>0.6258620689655172</x:v>
      </x:c>
      <x:c r="G30" s="98" t="n">
        <x:v>0.88</x:v>
      </x:c>
      <x:c r="H30" s="98" t="n">
        <x:v>0.5</x:v>
      </x:c>
      <x:c r="I30" s="98" t="n">
        <x:v>0.76</x:v>
      </x:c>
      <x:c r="J30" s="98" t="n">
        <x:v>0.8608695652173914</x:v>
      </x:c>
      <x:c r="K30" s="90" t="n">
        <x:v>2</x:v>
      </x:c>
      <x:c r="L30" s="90" t="str">
        <x:v>C</x:v>
      </x:c>
      <x:c r="M30" s="90" t="str">
        <x:v>Data Science Intern</x:v>
      </x:c>
      <x:c r="N30" s="90" t="str">
        <x:v>Data Science</x:v>
      </x:c>
      <x:c r="O30" s="90" t="str">
        <x:v>ALSAC data science, propensity modeling, DataRobot, Python/SQL and ML research form a clear progression.</x:v>
      </x:c>
      <x:c r="P30" s="90" t="str">
        <x:v>Exact posting still controls CPT eligibility; LinkedIn network evidence pending</x:v>
      </x:c>
    </x:row>
    <x:row r="31" ht="46" customHeight="1">
      <x:c r="A31" s="90" t="str">
        <x:v>Lyft</x:v>
      </x:c>
      <x:c r="B31" s="98" t="n">
        <x:v>0.82</x:v>
      </x:c>
      <x:c r="C31" s="98" t="n">
        <x:v>0.8458984706847374</x:v>
      </x:c>
      <x:c r="D31" s="98" t="n">
        <x:v>0.6259898045649162</x:v>
      </x:c>
      <x:c r="E31" s="98" t="n">
        <x:v>0.588206815277534</x:v>
      </x:c>
      <x:c r="F31" s="98" t="n">
        <x:v>0.75</x:v>
      </x:c>
      <x:c r="G31" s="98" t="n">
        <x:v>0.88</x:v>
      </x:c>
      <x:c r="H31" s="98" t="n">
        <x:v>0.5</x:v>
      </x:c>
      <x:c r="I31" s="98" t="n">
        <x:v>0.76</x:v>
      </x:c>
      <x:c r="J31" s="98" t="n">
        <x:v>0.751552795031056</x:v>
      </x:c>
      <x:c r="K31" s="90" t="n">
        <x:v>1</x:v>
      </x:c>
      <x:c r="L31" s="90" t="str">
        <x:v>C</x:v>
      </x:c>
      <x:c r="M31" s="90" t="str">
        <x:v>Data Science Intern</x:v>
      </x:c>
      <x:c r="N31" s="90" t="str">
        <x:v>Data Science</x:v>
      </x:c>
      <x:c r="O31" s="90" t="str">
        <x:v>ALSAC data science, propensity modeling, DataRobot, Python/SQL and ML research form a clear progression.</x:v>
      </x:c>
      <x:c r="P31" s="90" t="str">
        <x:v>Exact posting still controls CPT eligibility; LinkedIn network evidence pending</x:v>
      </x:c>
    </x:row>
    <x:row r="32" ht="46" customHeight="1">
      <x:c r="A32" s="90" t="str">
        <x:v>Adobe</x:v>
      </x:c>
      <x:c r="B32" s="98" t="n">
        <x:v>0.82</x:v>
      </x:c>
      <x:c r="C32" s="98" t="n">
        <x:v>0.7826115321401064</x:v>
      </x:c>
      <x:c r="D32" s="98" t="n">
        <x:v>0.2040768809340426</x:v>
      </x:c>
      <x:c r="E32" s="98" t="n">
        <x:v>0.6744721052575429</x:v>
      </x:c>
      <x:c r="F32" s="98" t="n">
        <x:v>0.7499999999999999</x:v>
      </x:c>
      <x:c r="G32" s="98" t="n">
        <x:v>0.92</x:v>
      </x:c>
      <x:c r="H32" s="98" t="n">
        <x:v>0.5</x:v>
      </x:c>
      <x:c r="I32" s="98" t="n">
        <x:v>0.76</x:v>
      </x:c>
      <x:c r="J32" s="98" t="n">
        <x:v>0.7366459627329192</x:v>
      </x:c>
      <x:c r="K32" s="90" t="n">
        <x:v>3</x:v>
      </x:c>
      <x:c r="L32" s="90" t="str">
        <x:v>B</x:v>
      </x:c>
      <x:c r="M32" s="90" t="str">
        <x:v>Data Science Intern</x:v>
      </x:c>
      <x:c r="N32" s="90" t="str">
        <x:v>Data Science</x:v>
      </x:c>
      <x:c r="O32" s="90" t="str">
        <x:v>ALSAC data science, propensity modeling, DataRobot, Python/SQL and ML research form a clear progression.</x:v>
      </x:c>
      <x:c r="P32" s="90" t="str">
        <x:v>Exact posting still controls CPT eligibility; LinkedIn network evidence pending</x:v>
      </x:c>
    </x:row>
    <x:row r="33" ht="46" customHeight="1">
      <x:c r="A33" s="90" t="str">
        <x:v>Kroger / 84.51°</x:v>
      </x:c>
      <x:c r="B33" s="98" t="n">
        <x:v>0.82</x:v>
      </x:c>
      <x:c r="C33" s="98" t="n">
        <x:v>0.831254410805069</x:v>
      </x:c>
      <x:c r="D33" s="98" t="n">
        <x:v>0.09502940536712655</x:v>
      </x:c>
      <x:c r="E33" s="98" t="n">
        <x:v>0.545</x:v>
      </x:c>
      <x:c r="F33" s="98" t="n">
        <x:v>0.5</x:v>
      </x:c>
      <x:c r="G33" s="98" t="n">
        <x:v>0.8</x:v>
      </x:c>
      <x:c r="H33" s="98" t="n">
        <x:v>0.5</x:v>
      </x:c>
      <x:c r="I33" s="98" t="n">
        <x:v>0.76</x:v>
      </x:c>
      <x:c r="J33" s="98" t="n">
        <x:v>0.9006211180124224</x:v>
      </x:c>
      <x:c r="K33" s="90" t="n">
        <x:v>0</x:v>
      </x:c>
      <x:c r="L33" s="90" t="str">
        <x:v>D</x:v>
      </x:c>
      <x:c r="M33" s="90" t="str">
        <x:v>Data Science Intern (84.51°)</x:v>
      </x:c>
      <x:c r="N33" s="90" t="str">
        <x:v>Data Science</x:v>
      </x:c>
      <x:c r="O33" s="90" t="str">
        <x:v>ALSAC data science, propensity modeling, DataRobot, Python/SQL and ML research form a clear progression. Consumer insights and segmentation are especially aligned with his prior work.</x:v>
      </x:c>
      <x:c r="P33" s="90" t="str">
        <x:v>Exact posting still controls CPT eligibility; Observed roles show graduate-degree skew; No matching public role found in reviewed trackers; LinkedIn network evidence pending</x:v>
      </x:c>
    </x:row>
    <x:row r="34" ht="46" customHeight="1">
      <x:c r="A34" s="90" t="str">
        <x:v>Snap</x:v>
      </x:c>
      <x:c r="B34" s="98" t="n">
        <x:v>0.82</x:v>
      </x:c>
      <x:c r="C34" s="98" t="n">
        <x:v>0.8127524339538013</x:v>
      </x:c>
      <x:c r="D34" s="98" t="n">
        <x:v>0.4050162263586755</x:v>
      </x:c>
      <x:c r="E34" s="98" t="n">
        <x:v>0.637806861595086</x:v>
      </x:c>
      <x:c r="F34" s="98" t="n">
        <x:v>0.75</x:v>
      </x:c>
      <x:c r="G34" s="98" t="n">
        <x:v>0.88</x:v>
      </x:c>
      <x:c r="H34" s="98" t="n">
        <x:v>0.5</x:v>
      </x:c>
      <x:c r="I34" s="98" t="n">
        <x:v>0.76</x:v>
      </x:c>
      <x:c r="J34" s="98" t="n">
        <x:v>0.7118012422360248</x:v>
      </x:c>
      <x:c r="K34" s="90" t="n">
        <x:v>2</x:v>
      </x:c>
      <x:c r="L34" s="90" t="str">
        <x:v>C</x:v>
      </x:c>
      <x:c r="M34" s="90" t="str">
        <x:v>Data Science Intern</x:v>
      </x:c>
      <x:c r="N34" s="90" t="str">
        <x:v>Data Science</x:v>
      </x:c>
      <x:c r="O34" s="90" t="str">
        <x:v>ALSAC data science, propensity modeling, DataRobot, Python/SQL and ML research form a clear progression.</x:v>
      </x:c>
      <x:c r="P34" s="90" t="str">
        <x:v>Exact posting still controls CPT eligibility; LinkedIn network evidence pending</x:v>
      </x:c>
    </x:row>
    <x:row r="35" ht="46" customHeight="1">
      <x:c r="A35" s="90" t="str">
        <x:v>Visa</x:v>
      </x:c>
      <x:c r="B35" s="98" t="n">
        <x:v>0.82</x:v>
      </x:c>
      <x:c r="C35" s="98" t="n">
        <x:v>0.8442445094771538</x:v>
      </x:c>
      <x:c r="D35" s="98" t="n">
        <x:v>0.08163006318102428</x:v>
      </x:c>
      <x:c r="E35" s="98" t="n">
        <x:v>0.5998791939271991</x:v>
      </x:c>
      <x:c r="F35" s="98" t="n">
        <x:v>0.75</x:v>
      </x:c>
      <x:c r="G35" s="98" t="n">
        <x:v>0.92</x:v>
      </x:c>
      <x:c r="H35" s="98" t="n">
        <x:v>0.5</x:v>
      </x:c>
      <x:c r="I35" s="98" t="n">
        <x:v>0.76</x:v>
      </x:c>
      <x:c r="J35" s="98" t="n">
        <x:v>0.6322981366459628</x:v>
      </x:c>
      <x:c r="K35" s="90" t="n">
        <x:v>2</x:v>
      </x:c>
      <x:c r="L35" s="90" t="str">
        <x:v>C</x:v>
      </x:c>
      <x:c r="M35" s="90" t="str">
        <x:v>Data Science Intern</x:v>
      </x:c>
      <x:c r="N35" s="90" t="str">
        <x:v>Data Science</x:v>
      </x:c>
      <x:c r="O35" s="90" t="str">
        <x:v>ALSAC data science, propensity modeling, DataRobot, Python/SQL and ML research form a clear progression. Payments and consumer-spend analytics closely match his consumer-behavior and segmentation experience.</x:v>
      </x:c>
      <x:c r="P35" s="90" t="str">
        <x:v>Exact posting still controls CPT eligibility; LinkedIn network evidence pending</x:v>
      </x:c>
    </x:row>
    <x:row r="36" ht="46" customHeight="1">
      <x:c r="A36" s="90" t="str">
        <x:v>Pinterest</x:v>
      </x:c>
      <x:c r="B36" s="98" t="n">
        <x:v>0.82</x:v>
      </x:c>
      <x:c r="C36" s="98" t="n">
        <x:v>0.796581282306414</x:v>
      </x:c>
      <x:c r="D36" s="98" t="n">
        <x:v>0.2972085487094266</x:v>
      </x:c>
      <x:c r="E36" s="98" t="n">
        <x:v>0.565650929123398</x:v>
      </x:c>
      <x:c r="F36" s="98" t="n">
        <x:v>0.75</x:v>
      </x:c>
      <x:c r="G36" s="98" t="n">
        <x:v>0.88</x:v>
      </x:c>
      <x:c r="H36" s="98" t="n">
        <x:v>0.5</x:v>
      </x:c>
      <x:c r="I36" s="98" t="n">
        <x:v>0.76</x:v>
      </x:c>
      <x:c r="J36" s="98" t="n">
        <x:v>0.8559006211180125</x:v>
      </x:c>
      <x:c r="K36" s="90" t="n">
        <x:v>1</x:v>
      </x:c>
      <x:c r="L36" s="90" t="str">
        <x:v>C</x:v>
      </x:c>
      <x:c r="M36" s="90" t="str">
        <x:v>Data Science Intern</x:v>
      </x:c>
      <x:c r="N36" s="90" t="str">
        <x:v>Data Science</x:v>
      </x:c>
      <x:c r="O36" s="90" t="str">
        <x:v>ALSAC data science, propensity modeling, DataRobot, Python/SQL and ML research form a clear progression.</x:v>
      </x:c>
      <x:c r="P36" s="90" t="str">
        <x:v>Exact posting still controls CPT eligibility; LinkedIn network evidence pending</x:v>
      </x:c>
    </x:row>
    <x:row r="37" ht="46" customHeight="1">
      <x:c r="A37" s="90" t="str">
        <x:v>Microsoft</x:v>
      </x:c>
      <x:c r="B37" s="98" t="n">
        <x:v>0.9</x:v>
      </x:c>
      <x:c r="C37" s="98" t="n">
        <x:v>0.8336897139593189</x:v>
      </x:c>
      <x:c r="D37" s="98" t="n">
        <x:v>0.544598093062126</x:v>
      </x:c>
      <x:c r="E37" s="98" t="n">
        <x:v>0.5172811862939054</x:v>
      </x:c>
      <x:c r="F37" s="98" t="n">
        <x:v>0.39999999999999997</x:v>
      </x:c>
      <x:c r="G37" s="98" t="n">
        <x:v>0.92</x:v>
      </x:c>
      <x:c r="H37" s="98" t="n">
        <x:v>0.5</x:v>
      </x:c>
      <x:c r="I37" s="98" t="n">
        <x:v>0.76</x:v>
      </x:c>
      <x:c r="J37" s="98" t="n">
        <x:v>0.5329192546583851</x:v>
      </x:c>
      <x:c r="K37" s="90" t="n">
        <x:v>2</x:v>
      </x:c>
      <x:c r="L37" s="90" t="str">
        <x:v>C</x:v>
      </x:c>
      <x:c r="M37" s="90" t="str">
        <x:v>Data Science Intern</x:v>
      </x:c>
      <x:c r="N37" s="90" t="str">
        <x:v>Data Science</x:v>
      </x:c>
      <x:c r="O37" s="90" t="str">
        <x:v>ALSAC data science, propensity modeling, DataRobot, Python/SQL and ML research form a clear progression.</x:v>
      </x:c>
      <x:c r="P37" s="90" t="str">
        <x:v>Exact posting still controls CPT eligibility; Observed roles show graduate-degree skew; LinkedIn network evidence pending</x:v>
      </x:c>
    </x:row>
    <x:row r="38" ht="46" customHeight="1">
      <x:c r="A38" s="90" t="str">
        <x:v>Atlassian</x:v>
      </x:c>
      <x:c r="B38" s="98" t="n">
        <x:v>0.82</x:v>
      </x:c>
      <x:c r="C38" s="98" t="n">
        <x:v>0.8667079075710682</x:v>
      </x:c>
      <x:c r="D38" s="98" t="n">
        <x:v>0.7647193838071218</x:v>
      </x:c>
      <x:c r="E38" s="98" t="n">
        <x:v>0.545</x:v>
      </x:c>
      <x:c r="F38" s="98" t="n">
        <x:v>0.5</x:v>
      </x:c>
      <x:c r="G38" s="98" t="n">
        <x:v>0.88</x:v>
      </x:c>
      <x:c r="H38" s="98" t="n">
        <x:v>0.5</x:v>
      </x:c>
      <x:c r="I38" s="98" t="n">
        <x:v>0.76</x:v>
      </x:c>
      <x:c r="J38" s="98" t="n">
        <x:v>0.6670807453416149</x:v>
      </x:c>
      <x:c r="K38" s="90" t="n">
        <x:v>0</x:v>
      </x:c>
      <x:c r="L38" s="90" t="str">
        <x:v>D</x:v>
      </x:c>
      <x:c r="M38" s="90" t="str">
        <x:v>Data Science Intern</x:v>
      </x:c>
      <x:c r="N38" s="90" t="str">
        <x:v>Data Science</x:v>
      </x:c>
      <x:c r="O38" s="90" t="str">
        <x:v>ALSAC data science, propensity modeling, DataRobot, Python/SQL and ML research form a clear progression.</x:v>
      </x:c>
      <x:c r="P38" s="90" t="str">
        <x:v>Exact posting still controls CPT eligibility; Observed roles show graduate-degree skew; No matching public role found in reviewed trackers; LinkedIn network evidence pending</x:v>
      </x:c>
    </x:row>
    <x:row r="39" ht="46" customHeight="1">
      <x:c r="A39" s="90" t="str">
        <x:v>Reddit</x:v>
      </x:c>
      <x:c r="B39" s="98" t="n">
        <x:v>0.82</x:v>
      </x:c>
      <x:c r="C39" s="98" t="n">
        <x:v>0.8667079075710682</x:v>
      </x:c>
      <x:c r="D39" s="98" t="n">
        <x:v>0.7647193838071218</x:v>
      </x:c>
      <x:c r="E39" s="98" t="n">
        <x:v>0.545</x:v>
      </x:c>
      <x:c r="F39" s="98" t="n">
        <x:v>0.5</x:v>
      </x:c>
      <x:c r="G39" s="98" t="n">
        <x:v>0.88</x:v>
      </x:c>
      <x:c r="H39" s="98" t="n">
        <x:v>0.5</x:v>
      </x:c>
      <x:c r="I39" s="98" t="n">
        <x:v>0.76</x:v>
      </x:c>
      <x:c r="J39" s="98" t="n">
        <x:v>0.662111801242236</x:v>
      </x:c>
      <x:c r="K39" s="90" t="n">
        <x:v>0</x:v>
      </x:c>
      <x:c r="L39" s="90" t="str">
        <x:v>D</x:v>
      </x:c>
      <x:c r="M39" s="90" t="str">
        <x:v>Data Science Intern</x:v>
      </x:c>
      <x:c r="N39" s="90" t="str">
        <x:v>Data Science</x:v>
      </x:c>
      <x:c r="O39" s="90" t="str">
        <x:v>ALSAC data science, propensity modeling, DataRobot, Python/SQL and ML research form a clear progression.</x:v>
      </x:c>
      <x:c r="P39" s="90" t="str">
        <x:v>Exact posting still controls CPT eligibility; Observed roles show graduate-degree skew; No matching public role found in reviewed trackers; LinkedIn network evidence pending</x:v>
      </x:c>
    </x:row>
    <x:row r="40" ht="46" customHeight="1">
      <x:c r="A40" s="90" t="str">
        <x:v>Uber</x:v>
      </x:c>
      <x:c r="B40" s="98" t="n">
        <x:v>0.82</x:v>
      </x:c>
      <x:c r="C40" s="98" t="n">
        <x:v>0.8655452182684188</x:v>
      </x:c>
      <x:c r="D40" s="98" t="n">
        <x:v>0.3236347884561249</x:v>
      </x:c>
      <x:c r="E40" s="98" t="n">
        <x:v>0.7196875</x:v>
      </x:c>
      <x:c r="F40" s="98" t="n">
        <x:v>0.61</x:v>
      </x:c>
      <x:c r="G40" s="98" t="n">
        <x:v>0.88</x:v>
      </x:c>
      <x:c r="H40" s="98" t="n">
        <x:v>0.5</x:v>
      </x:c>
      <x:c r="I40" s="98" t="n">
        <x:v>0.76</x:v>
      </x:c>
      <x:c r="J40" s="98" t="n">
        <x:v>0.4434782608695652</x:v>
      </x:c>
      <x:c r="K40" s="90" t="n">
        <x:v>5</x:v>
      </x:c>
      <x:c r="L40" s="90" t="str">
        <x:v>B</x:v>
      </x:c>
      <x:c r="M40" s="90" t="str">
        <x:v>Data Science Intern</x:v>
      </x:c>
      <x:c r="N40" s="90" t="str">
        <x:v>Data Science</x:v>
      </x:c>
      <x:c r="O40" s="90" t="str">
        <x:v>ALSAC data science, propensity modeling, DataRobot, Python/SQL and ML research form a clear progression. Marketplace/customer behavior is a direct extension of his growth and consumer analytics work.</x:v>
      </x:c>
      <x:c r="P40" s="90" t="str">
        <x:v>Exact posting still controls CPT eligibility; LinkedIn network evidence pending</x:v>
      </x:c>
    </x:row>
    <x:row r="41" ht="46" customHeight="1">
      <x:c r="A41" s="90" t="str">
        <x:v>Duolingo</x:v>
      </x:c>
      <x:c r="B41" s="98" t="n">
        <x:v>0.82</x:v>
      </x:c>
      <x:c r="C41" s="98" t="n">
        <x:v>0.8667079075710682</x:v>
      </x:c>
      <x:c r="D41" s="98" t="n">
        <x:v>0.7647193838071218</x:v>
      </x:c>
      <x:c r="E41" s="98" t="n">
        <x:v>0.545</x:v>
      </x:c>
      <x:c r="F41" s="98" t="n">
        <x:v>0.5</x:v>
      </x:c>
      <x:c r="G41" s="98" t="n">
        <x:v>0.88</x:v>
      </x:c>
      <x:c r="H41" s="98" t="n">
        <x:v>0.5</x:v>
      </x:c>
      <x:c r="I41" s="98" t="n">
        <x:v>0.76</x:v>
      </x:c>
      <x:c r="J41" s="98" t="n">
        <x:v>0.6571428571428571</x:v>
      </x:c>
      <x:c r="K41" s="90" t="n">
        <x:v>0</x:v>
      </x:c>
      <x:c r="L41" s="90" t="str">
        <x:v>D</x:v>
      </x:c>
      <x:c r="M41" s="90" t="str">
        <x:v>Data Science Intern</x:v>
      </x:c>
      <x:c r="N41" s="90" t="str">
        <x:v>Data Science</x:v>
      </x:c>
      <x:c r="O41" s="90" t="str">
        <x:v>ALSAC data science, propensity modeling, DataRobot, Python/SQL and ML research form a clear progression.</x:v>
      </x:c>
      <x:c r="P41" s="90" t="str">
        <x:v>Exact posting still controls CPT eligibility; Observed roles show graduate-degree skew; No matching public role found in reviewed trackers; LinkedIn network evidence pending</x:v>
      </x:c>
    </x:row>
    <x:row r="42" ht="46" customHeight="1">
      <x:c r="A42" s="90" t="str">
        <x:v>LinkedIn</x:v>
      </x:c>
      <x:c r="B42" s="98" t="n">
        <x:v>0.82</x:v>
      </x:c>
      <x:c r="C42" s="98" t="n">
        <x:v>0.8405871094444588</x:v>
      </x:c>
      <x:c r="D42" s="98" t="n">
        <x:v>0.5905807296297249</x:v>
      </x:c>
      <x:c r="E42" s="98" t="n">
        <x:v>0.5034354911877289</x:v>
      </x:c>
      <x:c r="F42" s="98" t="n">
        <x:v>0.25</x:v>
      </x:c>
      <x:c r="G42" s="98" t="n">
        <x:v>0.92</x:v>
      </x:c>
      <x:c r="H42" s="98" t="n">
        <x:v>0.5</x:v>
      </x:c>
      <x:c r="I42" s="98" t="n">
        <x:v>0.76</x:v>
      </x:c>
      <x:c r="J42" s="98" t="n">
        <x:v>0.7167701863354037</x:v>
      </x:c>
      <x:c r="K42" s="90" t="n">
        <x:v>2</x:v>
      </x:c>
      <x:c r="L42" s="90" t="str">
        <x:v>C</x:v>
      </x:c>
      <x:c r="M42" s="90" t="str">
        <x:v>Data Science Intern</x:v>
      </x:c>
      <x:c r="N42" s="90" t="str">
        <x:v>Data Science</x:v>
      </x:c>
      <x:c r="O42" s="90" t="str">
        <x:v>ALSAC data science, propensity modeling, DataRobot, Python/SQL and ML research form a clear progression.</x:v>
      </x:c>
      <x:c r="P42" s="90" t="str">
        <x:v>Exact posting still controls CPT eligibility; Observed roles show graduate-degree skew; LinkedIn network evidence pending</x:v>
      </x:c>
    </x:row>
    <x:row r="43" ht="46" customHeight="1">
      <x:c r="A43" s="90" t="str">
        <x:v>Nutanix</x:v>
      </x:c>
      <x:c r="B43" s="98" t="n">
        <x:v>0.82</x:v>
      </x:c>
      <x:c r="C43" s="98" t="n">
        <x:v>0.8667079075710682</x:v>
      </x:c>
      <x:c r="D43" s="98" t="n">
        <x:v>0.7647193838071218</x:v>
      </x:c>
      <x:c r="E43" s="98" t="n">
        <x:v>0.545</x:v>
      </x:c>
      <x:c r="F43" s="98" t="n">
        <x:v>0.5</x:v>
      </x:c>
      <x:c r="G43" s="98" t="n">
        <x:v>0.88</x:v>
      </x:c>
      <x:c r="H43" s="98" t="n">
        <x:v>0.5</x:v>
      </x:c>
      <x:c r="I43" s="98" t="n">
        <x:v>0.76</x:v>
      </x:c>
      <x:c r="J43" s="98" t="n">
        <x:v>0.6472049689440993</x:v>
      </x:c>
      <x:c r="K43" s="90" t="n">
        <x:v>0</x:v>
      </x:c>
      <x:c r="L43" s="90" t="str">
        <x:v>D</x:v>
      </x:c>
      <x:c r="M43" s="90" t="str">
        <x:v>Data Science Intern</x:v>
      </x:c>
      <x:c r="N43" s="90" t="str">
        <x:v>Data Science</x:v>
      </x:c>
      <x:c r="O43" s="90" t="str">
        <x:v>ALSAC data science, propensity modeling, DataRobot, Python/SQL and ML research form a clear progression.</x:v>
      </x:c>
      <x:c r="P43" s="90" t="str">
        <x:v>Exact posting still controls CPT eligibility; Observed roles show graduate-degree skew; No matching public role found in reviewed trackers; LinkedIn network evidence pending</x:v>
      </x:c>
    </x:row>
    <x:row r="44" ht="46" customHeight="1">
      <x:c r="A44" s="90" t="str">
        <x:v>Oracle</x:v>
      </x:c>
      <x:c r="B44" s="98" t="n">
        <x:v>0.82</x:v>
      </x:c>
      <x:c r="C44" s="98" t="n">
        <x:v>0.8367807443140931</x:v>
      </x:c>
      <x:c r="D44" s="98" t="n">
        <x:v>0.565204962093954</x:v>
      </x:c>
      <x:c r="E44" s="98" t="n">
        <x:v>0.545</x:v>
      </x:c>
      <x:c r="F44" s="98" t="n">
        <x:v>0.5</x:v>
      </x:c>
      <x:c r="G44" s="98" t="n">
        <x:v>0.88</x:v>
      </x:c>
      <x:c r="H44" s="98" t="n">
        <x:v>0.5</x:v>
      </x:c>
      <x:c r="I44" s="98" t="n">
        <x:v>0.76</x:v>
      </x:c>
      <x:c r="J44" s="98" t="n">
        <x:v>0.7267080745341615</x:v>
      </x:c>
      <x:c r="K44" s="90" t="n">
        <x:v>0</x:v>
      </x:c>
      <x:c r="L44" s="90" t="str">
        <x:v>D</x:v>
      </x:c>
      <x:c r="M44" s="90" t="str">
        <x:v>Data Science / Analyst Intern</x:v>
      </x:c>
      <x:c r="N44" s="90" t="str">
        <x:v>Data Science</x:v>
      </x:c>
      <x:c r="O44" s="90" t="str">
        <x:v>ALSAC data science, propensity modeling, DataRobot, Python/SQL and ML research form a clear progression.</x:v>
      </x:c>
      <x:c r="P44" s="90" t="str">
        <x:v>Exact posting still controls CPT eligibility; Observed roles show graduate-degree skew; No matching public role found in reviewed trackers; LinkedIn network evidence pending</x:v>
      </x:c>
    </x:row>
    <x:row r="45" ht="46" customHeight="1">
      <x:c r="A45" s="90" t="str">
        <x:v>Intuit</x:v>
      </x:c>
      <x:c r="B45" s="98" t="n">
        <x:v>0.82</x:v>
      </x:c>
      <x:c r="C45" s="98" t="n">
        <x:v>0.813121295976586</x:v>
      </x:c>
      <x:c r="D45" s="98" t="n">
        <x:v>0.40747530651057345</x:v>
      </x:c>
      <x:c r="E45" s="98" t="n">
        <x:v>0.588206815277534</x:v>
      </x:c>
      <x:c r="F45" s="98" t="n">
        <x:v>0.75</x:v>
      </x:c>
      <x:c r="G45" s="98" t="n">
        <x:v>0.88</x:v>
      </x:c>
      <x:c r="H45" s="98" t="n">
        <x:v>0.5</x:v>
      </x:c>
      <x:c r="I45" s="98" t="n">
        <x:v>0.76</x:v>
      </x:c>
      <x:c r="J45" s="98" t="n">
        <x:v>0.7018633540372671</x:v>
      </x:c>
      <x:c r="K45" s="90" t="n">
        <x:v>1</x:v>
      </x:c>
      <x:c r="L45" s="90" t="str">
        <x:v>C</x:v>
      </x:c>
      <x:c r="M45" s="90" t="str">
        <x:v>Data Science Intern</x:v>
      </x:c>
      <x:c r="N45" s="90" t="str">
        <x:v>Data Science</x:v>
      </x:c>
      <x:c r="O45" s="90" t="str">
        <x:v>ALSAC data science, propensity modeling, DataRobot, Python/SQL and ML research form a clear progression.</x:v>
      </x:c>
      <x:c r="P45" s="90" t="str">
        <x:v>Exact posting still controls CPT eligibility; LinkedIn network evidence pending</x:v>
      </x:c>
    </x:row>
    <x:row r="46" ht="46" customHeight="1">
      <x:c r="A46" s="90" t="str">
        <x:v>Edgeworth Economics</x:v>
      </x:c>
      <x:c r="B46" s="98" t="n">
        <x:v>0.62</x:v>
      </x:c>
      <x:c r="C46" s="98" t="n">
        <x:v>0.9165258838169883</x:v>
      </x:c>
      <x:c r="D46" s="98" t="n">
        <x:v>0.0035058921132557785</x:v>
      </x:c>
      <x:c r="E46" s="98" t="n">
        <x:v>0.671</x:v>
      </x:c>
      <x:c r="F46" s="98" t="n">
        <x:v>0.5</x:v>
      </x:c>
      <x:c r="G46" s="98" t="n">
        <x:v>0.92</x:v>
      </x:c>
      <x:c r="H46" s="98" t="n">
        <x:v>0.5</x:v>
      </x:c>
      <x:c r="I46" s="98" t="n">
        <x:v>0.64</x:v>
      </x:c>
      <x:c r="J46" s="98" t="n">
        <x:v>0.9105590062111801</x:v>
      </x:c>
      <x:c r="K46" s="90" t="n">
        <x:v>0</x:v>
      </x:c>
      <x:c r="L46" s="90" t="str">
        <x:v>D</x:v>
      </x:c>
      <x:c r="M46" s="90" t="str">
        <x:v>Analyst Intern</x:v>
      </x:c>
      <x:c r="N46" s="90" t="str">
        <x:v>Economic Consulting</x:v>
      </x:c>
      <x:c r="O46" s="90" t="str">
        <x:v>CMDA + Economics, two publications and the incoming economics replication project create unusually direct fit.</x:v>
      </x:c>
      <x:c r="P46" s="90" t="str">
        <x:v>CPT/future-sponsorship wording must be verified; 3.31 GPA may sit below a preferred threshold; No matching public role found in reviewed trackers; LinkedIn network evidence pending</x:v>
      </x:c>
    </x:row>
    <x:row r="47" ht="46" customHeight="1">
      <x:c r="A47" s="90" t="str">
        <x:v>Google</x:v>
      </x:c>
      <x:c r="B47" s="98" t="n">
        <x:v>0.9</x:v>
      </x:c>
      <x:c r="C47" s="98" t="n">
        <x:v>0.9019999999999999</x:v>
      </x:c>
      <x:c r="D47" s="98" t="n">
        <x:v>1</x:v>
      </x:c>
      <x:c r="E47" s="98" t="n">
        <x:v>0.545</x:v>
      </x:c>
      <x:c r="F47" s="98" t="n">
        <x:v>0.5</x:v>
      </x:c>
      <x:c r="G47" s="98" t="n">
        <x:v>0.92</x:v>
      </x:c>
      <x:c r="H47" s="98" t="n">
        <x:v>0.5</x:v>
      </x:c>
      <x:c r="I47" s="98" t="n">
        <x:v>0.76</x:v>
      </x:c>
      <x:c r="J47" s="98" t="n">
        <x:v>0.23975155279503105</x:v>
      </x:c>
      <x:c r="K47" s="90" t="n">
        <x:v>0</x:v>
      </x:c>
      <x:c r="L47" s="90" t="str">
        <x:v>D</x:v>
      </x:c>
      <x:c r="M47" s="90" t="str">
        <x:v>Data Science Intern / Student Researcher</x:v>
      </x:c>
      <x:c r="N47" s="90" t="str">
        <x:v>Data Science</x:v>
      </x:c>
      <x:c r="O47" s="90" t="str">
        <x:v>ALSAC data science, propensity modeling, DataRobot, Python/SQL and ML research form a clear progression.</x:v>
      </x:c>
      <x:c r="P47" s="90" t="str">
        <x:v>Exact posting still controls CPT eligibility; Observed roles show graduate-degree skew; No matching public role found in reviewed trackers; LinkedIn network evidence pending</x:v>
      </x:c>
    </x:row>
    <x:row r="48" ht="46" customHeight="1">
      <x:c r="A48" s="90" t="str">
        <x:v>Block (Square/Cash App)</x:v>
      </x:c>
      <x:c r="B48" s="98" t="n">
        <x:v>0.82</x:v>
      </x:c>
      <x:c r="C48" s="98" t="n">
        <x:v>0.9167079075710682</x:v>
      </x:c>
      <x:c r="D48" s="98" t="n">
        <x:v>0.7647193838071218</x:v>
      </x:c>
      <x:c r="E48" s="98" t="n">
        <x:v>0.545</x:v>
      </x:c>
      <x:c r="F48" s="98" t="n">
        <x:v>0.5</x:v>
      </x:c>
      <x:c r="G48" s="98" t="n">
        <x:v>0.88</x:v>
      </x:c>
      <x:c r="H48" s="98" t="n">
        <x:v>0.5</x:v>
      </x:c>
      <x:c r="I48" s="98" t="n">
        <x:v>0.76</x:v>
      </x:c>
      <x:c r="J48" s="98" t="n">
        <x:v>0.4683229813664596</x:v>
      </x:c>
      <x:c r="K48" s="90" t="n">
        <x:v>0</x:v>
      </x:c>
      <x:c r="L48" s="90" t="str">
        <x:v>D</x:v>
      </x:c>
      <x:c r="M48" s="90" t="str">
        <x:v>Data Science Intern</x:v>
      </x:c>
      <x:c r="N48" s="90" t="str">
        <x:v>Data Science</x:v>
      </x:c>
      <x:c r="O48" s="90" t="str">
        <x:v>ALSAC data science, propensity modeling, DataRobot, Python/SQL and ML research form a clear progression. Payments and consumer-spend analytics closely match his consumer-behavior and segmentation experience.</x:v>
      </x:c>
      <x:c r="P48" s="90" t="str">
        <x:v>Exact posting still controls CPT eligibility; Observed roles show graduate-degree skew; No matching public role found in reviewed trackers; LinkedIn network evidence pending</x:v>
      </x:c>
    </x:row>
    <x:row r="49" ht="46" customHeight="1">
      <x:c r="A49" s="90" t="str">
        <x:v>PayPal</x:v>
      </x:c>
      <x:c r="B49" s="98" t="n">
        <x:v>0.82</x:v>
      </x:c>
      <x:c r="C49" s="98" t="n">
        <x:v>0.9167079075710682</x:v>
      </x:c>
      <x:c r="D49" s="98" t="n">
        <x:v>0.7647193838071218</x:v>
      </x:c>
      <x:c r="E49" s="98" t="n">
        <x:v>0.545</x:v>
      </x:c>
      <x:c r="F49" s="98" t="n">
        <x:v>0.5</x:v>
      </x:c>
      <x:c r="G49" s="98" t="n">
        <x:v>0.88</x:v>
      </x:c>
      <x:c r="H49" s="98" t="n">
        <x:v>0.5</x:v>
      </x:c>
      <x:c r="I49" s="98" t="n">
        <x:v>0.76</x:v>
      </x:c>
      <x:c r="J49" s="98" t="n">
        <x:v>0.4633540372670807</x:v>
      </x:c>
      <x:c r="K49" s="90" t="n">
        <x:v>0</x:v>
      </x:c>
      <x:c r="L49" s="90" t="str">
        <x:v>D</x:v>
      </x:c>
      <x:c r="M49" s="90" t="str">
        <x:v>Data Science Intern</x:v>
      </x:c>
      <x:c r="N49" s="90" t="str">
        <x:v>Data Science</x:v>
      </x:c>
      <x:c r="O49" s="90" t="str">
        <x:v>ALSAC data science, propensity modeling, DataRobot, Python/SQL and ML research form a clear progression. Payments and consumer-spend analytics closely match his consumer-behavior and segmentation experience.</x:v>
      </x:c>
      <x:c r="P49" s="90" t="str">
        <x:v>Exact posting still controls CPT eligibility; Observed roles show graduate-degree skew; No matching public role found in reviewed trackers; LinkedIn network evidence pending</x:v>
      </x:c>
    </x:row>
    <x:row r="50" ht="46" customHeight="1">
      <x:c r="A50" s="90" t="str">
        <x:v>ZS Associates</x:v>
      </x:c>
      <x:c r="B50" s="98" t="n">
        <x:v>0.82</x:v>
      </x:c>
      <x:c r="C50" s="98" t="n">
        <x:v>0.8113307184297449</x:v>
      </x:c>
      <x:c r="D50" s="98" t="n">
        <x:v>0.12887145619829898</x:v>
      </x:c>
      <x:c r="E50" s="98" t="n">
        <x:v>0.635</x:v>
      </x:c>
      <x:c r="F50" s="98" t="n">
        <x:v>0.5</x:v>
      </x:c>
      <x:c r="G50" s="98" t="n">
        <x:v>0.8</x:v>
      </x:c>
      <x:c r="H50" s="98" t="n">
        <x:v>0.5</x:v>
      </x:c>
      <x:c r="I50" s="98" t="n">
        <x:v>0.6799999999999999</x:v>
      </x:c>
      <x:c r="J50" s="98" t="n">
        <x:v>0.7416149068322981</x:v>
      </x:c>
      <x:c r="K50" s="90" t="n">
        <x:v>0</x:v>
      </x:c>
      <x:c r="L50" s="90" t="str">
        <x:v>D</x:v>
      </x:c>
      <x:c r="M50" s="90" t="str">
        <x:v>Decision Analytics Associate Intern</x:v>
      </x:c>
      <x:c r="N50" s="90" t="str">
        <x:v>Analytics Consulting</x:v>
      </x:c>
      <x:c r="O50" s="90" t="str">
        <x:v>Technical analytics plus economics, research and residential leadership support client-facing analytical work.</x:v>
      </x:c>
      <x:c r="P50" s="90" t="str">
        <x:v>Exact posting still controls CPT eligibility; 3.31 GPA may sit below a preferred threshold; No matching public role found in reviewed trackers; LinkedIn network evidence pending</x:v>
      </x:c>
    </x:row>
    <x:row r="51" ht="46" customHeight="1">
      <x:c r="A51" s="90" t="str">
        <x:v>Zillow</x:v>
      </x:c>
      <x:c r="B51" s="98" t="n">
        <x:v>0.82</x:v>
      </x:c>
      <x:c r="C51" s="98" t="n">
        <x:v>0.7724818462505337</x:v>
      </x:c>
      <x:c r="D51" s="98" t="n">
        <x:v>0.03654564167022463</x:v>
      </x:c>
      <x:c r="E51" s="98" t="n">
        <x:v>0.5037637883030557</x:v>
      </x:c>
      <x:c r="F51" s="98" t="n">
        <x:v>0.35</x:v>
      </x:c>
      <x:c r="G51" s="98" t="n">
        <x:v>0.88</x:v>
      </x:c>
      <x:c r="H51" s="98" t="n">
        <x:v>0.5</x:v>
      </x:c>
      <x:c r="I51" s="98" t="n">
        <x:v>0.76</x:v>
      </x:c>
      <x:c r="J51" s="98" t="n">
        <x:v>0.8658385093167702</x:v>
      </x:c>
      <x:c r="K51" s="90" t="n">
        <x:v>2</x:v>
      </x:c>
      <x:c r="L51" s="90" t="str">
        <x:v>C</x:v>
      </x:c>
      <x:c r="M51" s="90" t="str">
        <x:v>Data Science / Applied Science Intern</x:v>
      </x:c>
      <x:c r="N51" s="90" t="str">
        <x:v>Data Science</x:v>
      </x:c>
      <x:c r="O51" s="90" t="str">
        <x:v>ALSAC data science, propensity modeling, DataRobot, Python/SQL and ML research form a clear progression.</x:v>
      </x:c>
      <x:c r="P51" s="90" t="str">
        <x:v>Exact posting still controls CPT eligibility; Observed roles show graduate-degree skew; LinkedIn network evidence pending</x:v>
      </x:c>
    </x:row>
    <x:row r="52" ht="46" customHeight="1">
      <x:c r="A52" s="90" t="str">
        <x:v>Splunk (Cisco)</x:v>
      </x:c>
      <x:c r="B52" s="98" t="n">
        <x:v>0.82</x:v>
      </x:c>
      <x:c r="C52" s="98" t="n">
        <x:v>0.7921604252748877</x:v>
      </x:c>
      <x:c r="D52" s="98" t="n">
        <x:v>0.26773616849925186</x:v>
      </x:c>
      <x:c r="E52" s="98" t="n">
        <x:v>0.6268831231156798</x:v>
      </x:c>
      <x:c r="F52" s="98" t="n">
        <x:v>0.75</x:v>
      </x:c>
      <x:c r="G52" s="98" t="n">
        <x:v>0.88</x:v>
      </x:c>
      <x:c r="H52" s="98" t="n">
        <x:v>0.5</x:v>
      </x:c>
      <x:c r="I52" s="98" t="n">
        <x:v>0.76</x:v>
      </x:c>
      <x:c r="J52" s="98" t="n">
        <x:v>0.6422360248447205</x:v>
      </x:c>
      <x:c r="K52" s="90" t="n">
        <x:v>2</x:v>
      </x:c>
      <x:c r="L52" s="90" t="str">
        <x:v>C</x:v>
      </x:c>
      <x:c r="M52" s="90" t="str">
        <x:v>Data Science Intern</x:v>
      </x:c>
      <x:c r="N52" s="90" t="str">
        <x:v>Data Science</x:v>
      </x:c>
      <x:c r="O52" s="90" t="str">
        <x:v>ALSAC data science, propensity modeling, DataRobot, Python/SQL and ML research form a clear progression.</x:v>
      </x:c>
      <x:c r="P52" s="90" t="str">
        <x:v>Exact posting still controls CPT eligibility; LinkedIn network evidence pending</x:v>
      </x:c>
    </x:row>
    <x:row r="53" ht="46" customHeight="1">
      <x:c r="A53" s="90" t="str">
        <x:v>Expedia Group</x:v>
      </x:c>
      <x:c r="B53" s="98" t="n">
        <x:v>0.82</x:v>
      </x:c>
      <x:c r="C53" s="98" t="n">
        <x:v>0.8434312984465813</x:v>
      </x:c>
      <x:c r="D53" s="98" t="n">
        <x:v>0.6095419896438748</x:v>
      </x:c>
      <x:c r="E53" s="98" t="n">
        <x:v>0.4939455189503966</x:v>
      </x:c>
      <x:c r="F53" s="98" t="n">
        <x:v>0.25</x:v>
      </x:c>
      <x:c r="G53" s="98" t="n">
        <x:v>0.88</x:v>
      </x:c>
      <x:c r="H53" s="98" t="n">
        <x:v>0.5</x:v>
      </x:c>
      <x:c r="I53" s="98" t="n">
        <x:v>0.76</x:v>
      </x:c>
      <x:c r="J53" s="98" t="n">
        <x:v>0.6720496894409937</x:v>
      </x:c>
      <x:c r="K53" s="90" t="n">
        <x:v>1</x:v>
      </x:c>
      <x:c r="L53" s="90" t="str">
        <x:v>C</x:v>
      </x:c>
      <x:c r="M53" s="90" t="str">
        <x:v>Data Science Intern</x:v>
      </x:c>
      <x:c r="N53" s="90" t="str">
        <x:v>Data Science</x:v>
      </x:c>
      <x:c r="O53" s="90" t="str">
        <x:v>ALSAC data science, propensity modeling, DataRobot, Python/SQL and ML research form a clear progression.</x:v>
      </x:c>
      <x:c r="P53" s="90" t="str">
        <x:v>Exact posting still controls CPT eligibility; Observed roles show graduate-degree skew; LinkedIn network evidence pending</x:v>
      </x:c>
    </x:row>
    <x:row r="54" ht="46" customHeight="1">
      <x:c r="A54" s="90" t="str">
        <x:v>Bloomberg</x:v>
      </x:c>
      <x:c r="B54" s="98" t="n">
        <x:v>0.82</x:v>
      </x:c>
      <x:c r="C54" s="98" t="n">
        <x:v>0.8632638501310361</x:v>
      </x:c>
      <x:c r="D54" s="98" t="n">
        <x:v>0.6417590008735737</x:v>
      </x:c>
      <x:c r="E54" s="98" t="n">
        <x:v>0.545</x:v>
      </x:c>
      <x:c r="F54" s="98" t="n">
        <x:v>0.5</x:v>
      </x:c>
      <x:c r="G54" s="98" t="n">
        <x:v>0.92</x:v>
      </x:c>
      <x:c r="H54" s="98" t="n">
        <x:v>0.5</x:v>
      </x:c>
      <x:c r="I54" s="98" t="n">
        <x:v>0.76</x:v>
      </x:c>
      <x:c r="J54" s="98" t="n">
        <x:v>0.5279503105590062</x:v>
      </x:c>
      <x:c r="K54" s="90" t="n">
        <x:v>0</x:v>
      </x:c>
      <x:c r="L54" s="90" t="str">
        <x:v>D</x:v>
      </x:c>
      <x:c r="M54" s="90" t="str">
        <x:v>Data Science Intern</x:v>
      </x:c>
      <x:c r="N54" s="90" t="str">
        <x:v>Data Science</x:v>
      </x:c>
      <x:c r="O54" s="90" t="str">
        <x:v>ALSAC data science, propensity modeling, DataRobot, Python/SQL and ML research form a clear progression.</x:v>
      </x:c>
      <x:c r="P54" s="90" t="str">
        <x:v>Exact posting still controls CPT eligibility; Observed roles show graduate-degree skew; No matching public role found in reviewed trackers; LinkedIn network evidence pending</x:v>
      </x:c>
    </x:row>
    <x:row r="55" ht="46" customHeight="1">
      <x:c r="A55" s="90" t="str">
        <x:v>Workday</x:v>
      </x:c>
      <x:c r="B55" s="98" t="n">
        <x:v>0.82</x:v>
      </x:c>
      <x:c r="C55" s="98" t="n">
        <x:v>0.7956782781260388</x:v>
      </x:c>
      <x:c r="D55" s="98" t="n">
        <x:v>0.29118852084025837</x:v>
      </x:c>
      <x:c r="E55" s="98" t="n">
        <x:v>0.545</x:v>
      </x:c>
      <x:c r="F55" s="98" t="n">
        <x:v>0.5</x:v>
      </x:c>
      <x:c r="G55" s="98" t="n">
        <x:v>0.88</x:v>
      </x:c>
      <x:c r="H55" s="98" t="n">
        <x:v>0.5</x:v>
      </x:c>
      <x:c r="I55" s="98" t="n">
        <x:v>0.76</x:v>
      </x:c>
      <x:c r="J55" s="98" t="n">
        <x:v>0.6919254658385092</x:v>
      </x:c>
      <x:c r="K55" s="90" t="n">
        <x:v>0</x:v>
      </x:c>
      <x:c r="L55" s="90" t="str">
        <x:v>D</x:v>
      </x:c>
      <x:c r="M55" s="90" t="str">
        <x:v>Data Science Intern (Generation Workday)</x:v>
      </x:c>
      <x:c r="N55" s="90" t="str">
        <x:v>Data Science</x:v>
      </x:c>
      <x:c r="O55" s="90" t="str">
        <x:v>ALSAC data science, propensity modeling, DataRobot, Python/SQL and ML research form a clear progression.</x:v>
      </x:c>
      <x:c r="P55" s="90" t="str">
        <x:v>Exact posting still controls CPT eligibility; Observed roles show graduate-degree skew; No matching public role found in reviewed trackers; LinkedIn network evidence pending</x:v>
      </x:c>
    </x:row>
    <x:row r="56" ht="46" customHeight="1">
      <x:c r="A56" s="90" t="str">
        <x:v>Coinbase</x:v>
      </x:c>
      <x:c r="B56" s="98" t="n">
        <x:v>0.82</x:v>
      </x:c>
      <x:c r="C56" s="98" t="n">
        <x:v>0.8658515574655792</x:v>
      </x:c>
      <x:c r="D56" s="98" t="n">
        <x:v>0.7590103831038618</x:v>
      </x:c>
      <x:c r="E56" s="98" t="n">
        <x:v>0.5826314717538699</x:v>
      </x:c>
      <x:c r="F56" s="98" t="n">
        <x:v>0.75</x:v>
      </x:c>
      <x:c r="G56" s="98" t="n">
        <x:v>0.88</x:v>
      </x:c>
      <x:c r="H56" s="98" t="n">
        <x:v>0.5</x:v>
      </x:c>
      <x:c r="I56" s="98" t="n">
        <x:v>0.76</x:v>
      </x:c>
      <x:c r="J56" s="98" t="n">
        <x:v>0.453416149068323</x:v>
      </x:c>
      <x:c r="K56" s="90" t="n">
        <x:v>1</x:v>
      </x:c>
      <x:c r="L56" s="90" t="str">
        <x:v>C</x:v>
      </x:c>
      <x:c r="M56" s="90" t="str">
        <x:v>Data Science Intern</x:v>
      </x:c>
      <x:c r="N56" s="90" t="str">
        <x:v>Data Science</x:v>
      </x:c>
      <x:c r="O56" s="90" t="str">
        <x:v>ALSAC data science, propensity modeling, DataRobot, Python/SQL and ML research form a clear progression.</x:v>
      </x:c>
      <x:c r="P56" s="90" t="str">
        <x:v>Exact posting still controls CPT eligibility; LinkedIn network evidence pending</x:v>
      </x:c>
    </x:row>
    <x:row r="57" ht="46" customHeight="1">
      <x:c r="A57" s="90" t="str">
        <x:v>Qualcomm</x:v>
      </x:c>
      <x:c r="B57" s="98" t="n">
        <x:v>0.9</x:v>
      </x:c>
      <x:c r="C57" s="98" t="n">
        <x:v>0.7991126849690158</x:v>
      </x:c>
      <x:c r="D57" s="98" t="n">
        <x:v>0.31408456646010485</x:v>
      </x:c>
      <x:c r="E57" s="98" t="n">
        <x:v>0.53375</x:v>
      </x:c>
      <x:c r="F57" s="98" t="n">
        <x:v>0.5</x:v>
      </x:c>
      <x:c r="G57" s="98" t="n">
        <x:v>0.62</x:v>
      </x:c>
      <x:c r="H57" s="98" t="n">
        <x:v>0.5</x:v>
      </x:c>
      <x:c r="I57" s="98" t="n">
        <x:v>0.76</x:v>
      </x:c>
      <x:c r="J57" s="98" t="n">
        <x:v>0.6869565217391305</x:v>
      </x:c>
      <x:c r="K57" s="90" t="n">
        <x:v>1</x:v>
      </x:c>
      <x:c r="L57" s="90" t="str">
        <x:v>C</x:v>
      </x:c>
      <x:c r="M57" s="90" t="str">
        <x:v>Data Science / ML Intern</x:v>
      </x:c>
      <x:c r="N57" s="90" t="str">
        <x:v>Data Science</x:v>
      </x:c>
      <x:c r="O57" s="90" t="str">
        <x:v>ALSAC data science, propensity modeling, DataRobot, Python/SQL and ML research form a clear progression.</x:v>
      </x:c>
      <x:c r="P57" s="90" t="str">
        <x:v>Exact posting still controls CPT eligibility; Observed roles show graduate-degree skew; LinkedIn network evidence pending</x:v>
      </x:c>
    </x:row>
    <x:row r="58" ht="46" customHeight="1">
      <x:c r="A58" s="90" t="str">
        <x:v>Robinhood</x:v>
      </x:c>
      <x:c r="B58" s="98" t="n">
        <x:v>0.82</x:v>
      </x:c>
      <x:c r="C58" s="98" t="n">
        <x:v>0.8667079075710682</x:v>
      </x:c>
      <x:c r="D58" s="98" t="n">
        <x:v>0.7647193838071218</x:v>
      </x:c>
      <x:c r="E58" s="98" t="n">
        <x:v>0.545</x:v>
      </x:c>
      <x:c r="F58" s="98" t="n">
        <x:v>0.5</x:v>
      </x:c>
      <x:c r="G58" s="98" t="n">
        <x:v>0.88</x:v>
      </x:c>
      <x:c r="H58" s="98" t="n">
        <x:v>0.5</x:v>
      </x:c>
      <x:c r="I58" s="98" t="n">
        <x:v>0.76</x:v>
      </x:c>
      <x:c r="J58" s="98" t="n">
        <x:v>0.45838509316770193</x:v>
      </x:c>
      <x:c r="K58" s="90" t="n">
        <x:v>0</x:v>
      </x:c>
      <x:c r="L58" s="90" t="str">
        <x:v>D</x:v>
      </x:c>
      <x:c r="M58" s="90" t="str">
        <x:v>Data Science Intern</x:v>
      </x:c>
      <x:c r="N58" s="90" t="str">
        <x:v>Data Science</x:v>
      </x:c>
      <x:c r="O58" s="90" t="str">
        <x:v>ALSAC data science, propensity modeling, DataRobot, Python/SQL and ML research form a clear progression.</x:v>
      </x:c>
      <x:c r="P58" s="90" t="str">
        <x:v>Exact posting still controls CPT eligibility; Observed roles show graduate-degree skew; No matching public role found in reviewed trackers; LinkedIn network evidence pending</x:v>
      </x:c>
    </x:row>
    <x:row r="59" ht="46" customHeight="1">
      <x:c r="A59" s="90" t="str">
        <x:v>Apple</x:v>
      </x:c>
      <x:c r="B59" s="98" t="n">
        <x:v>0.8300000000000001</x:v>
      </x:c>
      <x:c r="C59" s="98" t="n">
        <x:v>0.8693678962199234</x:v>
      </x:c>
      <x:c r="D59" s="98" t="n">
        <x:v>0.7824526414661555</x:v>
      </x:c>
      <x:c r="E59" s="98" t="n">
        <x:v>0.6338840573390745</x:v>
      </x:c>
      <x:c r="F59" s="98" t="n">
        <x:v>1</x:v>
      </x:c>
      <x:c r="G59" s="98" t="n">
        <x:v>0.92</x:v>
      </x:c>
      <x:c r="H59" s="98" t="n">
        <x:v>0.5</x:v>
      </x:c>
      <x:c r="I59" s="98" t="n">
        <x:v>0.76</x:v>
      </x:c>
      <x:c r="J59" s="98" t="n">
        <x:v>0.22981366459627325</x:v>
      </x:c>
      <x:c r="K59" s="90" t="n">
        <x:v>2</x:v>
      </x:c>
      <x:c r="L59" s="90" t="str">
        <x:v>C</x:v>
      </x:c>
      <x:c r="M59" s="90" t="str">
        <x:v>Data Science / Machine Learning Intern</x:v>
      </x:c>
      <x:c r="N59" s="90" t="str">
        <x:v>Data Science</x:v>
      </x:c>
      <x:c r="O59" s="90" t="str">
        <x:v>ALSAC data science, propensity modeling, DataRobot, Python/SQL and ML research form a clear progression.</x:v>
      </x:c>
      <x:c r="P59" s="90" t="str">
        <x:v>Exact posting still controls CPT eligibility; LinkedIn network evidence pending</x:v>
      </x:c>
    </x:row>
    <x:row r="60" ht="46" customHeight="1">
      <x:c r="A60" s="90" t="str">
        <x:v>AMD</x:v>
      </x:c>
      <x:c r="B60" s="98" t="n">
        <x:v>0.82</x:v>
      </x:c>
      <x:c r="C60" s="98" t="n">
        <x:v>0.8667079075710682</x:v>
      </x:c>
      <x:c r="D60" s="98" t="n">
        <x:v>0.7647193838071218</x:v>
      </x:c>
      <x:c r="E60" s="98" t="n">
        <x:v>0.545</x:v>
      </x:c>
      <x:c r="F60" s="98" t="n">
        <x:v>0.5</x:v>
      </x:c>
      <x:c r="G60" s="98" t="n">
        <x:v>0.62</x:v>
      </x:c>
      <x:c r="H60" s="98" t="n">
        <x:v>0.5</x:v>
      </x:c>
      <x:c r="I60" s="98" t="n">
        <x:v>0.76</x:v>
      </x:c>
      <x:c r="J60" s="98" t="n">
        <x:v>0.6819875776397516</x:v>
      </x:c>
      <x:c r="K60" s="90" t="n">
        <x:v>0</x:v>
      </x:c>
      <x:c r="L60" s="90" t="str">
        <x:v>D</x:v>
      </x:c>
      <x:c r="M60" s="90" t="str">
        <x:v>Data Science Intern</x:v>
      </x:c>
      <x:c r="N60" s="90" t="str">
        <x:v>Data Science</x:v>
      </x:c>
      <x:c r="O60" s="90" t="str">
        <x:v>ALSAC data science, propensity modeling, DataRobot, Python/SQL and ML research form a clear progression.</x:v>
      </x:c>
      <x:c r="P60" s="90" t="str">
        <x:v>Exact posting still controls CPT eligibility; Observed roles show graduate-degree skew; No matching public role found in reviewed trackers; LinkedIn network evidence pending</x:v>
      </x:c>
    </x:row>
    <x:row r="61" ht="46" customHeight="1">
      <x:c r="A61" s="90" t="str">
        <x:v>Stripe</x:v>
      </x:c>
      <x:c r="B61" s="98" t="n">
        <x:v>0.82</x:v>
      </x:c>
      <x:c r="C61" s="98" t="n">
        <x:v>0.8667079075710682</x:v>
      </x:c>
      <x:c r="D61" s="98" t="n">
        <x:v>0.7647193838071218</x:v>
      </x:c>
      <x:c r="E61" s="98" t="n">
        <x:v>0.545</x:v>
      </x:c>
      <x:c r="F61" s="98" t="n">
        <x:v>0.5</x:v>
      </x:c>
      <x:c r="G61" s="98" t="n">
        <x:v>0.88</x:v>
      </x:c>
      <x:c r="H61" s="98" t="n">
        <x:v>0.5</x:v>
      </x:c>
      <x:c r="I61" s="98" t="n">
        <x:v>0.76</x:v>
      </x:c>
      <x:c r="J61" s="98" t="n">
        <x:v>0.4136645962732919</x:v>
      </x:c>
      <x:c r="K61" s="90" t="n">
        <x:v>0</x:v>
      </x:c>
      <x:c r="L61" s="90" t="str">
        <x:v>D</x:v>
      </x:c>
      <x:c r="M61" s="90" t="str">
        <x:v>Data Science Intern</x:v>
      </x:c>
      <x:c r="N61" s="90" t="str">
        <x:v>Data Science</x:v>
      </x:c>
      <x:c r="O61" s="90" t="str">
        <x:v>ALSAC data science, propensity modeling, DataRobot, Python/SQL and ML research form a clear progression.</x:v>
      </x:c>
      <x:c r="P61" s="90" t="str">
        <x:v>Exact posting still controls CPT eligibility; Observed roles show graduate-degree skew; No matching public role found in reviewed trackers; LinkedIn network evidence pending</x:v>
      </x:c>
    </x:row>
    <x:row r="62" ht="46" customHeight="1">
      <x:c r="A62" s="90" t="str">
        <x:v>Roblox</x:v>
      </x:c>
      <x:c r="B62" s="98" t="n">
        <x:v>0.82</x:v>
      </x:c>
      <x:c r="C62" s="98" t="n">
        <x:v>0.8667079075710682</x:v>
      </x:c>
      <x:c r="D62" s="98" t="n">
        <x:v>0.7647193838071218</x:v>
      </x:c>
      <x:c r="E62" s="98" t="n">
        <x:v>0.545</x:v>
      </x:c>
      <x:c r="F62" s="98" t="n">
        <x:v>0.5</x:v>
      </x:c>
      <x:c r="G62" s="98" t="n">
        <x:v>0.88</x:v>
      </x:c>
      <x:c r="H62" s="98" t="n">
        <x:v>0.5</x:v>
      </x:c>
      <x:c r="I62" s="98" t="n">
        <x:v>0.76</x:v>
      </x:c>
      <x:c r="J62" s="98" t="n">
        <x:v>0.40869565217391307</x:v>
      </x:c>
      <x:c r="K62" s="90" t="n">
        <x:v>0</x:v>
      </x:c>
      <x:c r="L62" s="90" t="str">
        <x:v>D</x:v>
      </x:c>
      <x:c r="M62" s="90" t="str">
        <x:v>Data Science Intern</x:v>
      </x:c>
      <x:c r="N62" s="90" t="str">
        <x:v>Data Science</x:v>
      </x:c>
      <x:c r="O62" s="90" t="str">
        <x:v>ALSAC data science, propensity modeling, DataRobot, Python/SQL and ML research form a clear progression.</x:v>
      </x:c>
      <x:c r="P62" s="90" t="str">
        <x:v>Exact posting still controls CPT eligibility; Observed roles show graduate-degree skew; No matching public role found in reviewed trackers; LinkedIn network evidence pending</x:v>
      </x:c>
    </x:row>
    <x:row r="63" ht="46" customHeight="1">
      <x:c r="A63" s="90" t="str">
        <x:v>Netflix</x:v>
      </x:c>
      <x:c r="B63" s="98" t="n">
        <x:v>0.82</x:v>
      </x:c>
      <x:c r="C63" s="98" t="n">
        <x:v>0.9019999999999999</x:v>
      </x:c>
      <x:c r="D63" s="98" t="n">
        <x:v>1</x:v>
      </x:c>
      <x:c r="E63" s="98" t="n">
        <x:v>0.5624132657377875</x:v>
      </x:c>
      <x:c r="F63" s="98" t="n">
        <x:v>0.75</x:v>
      </x:c>
      <x:c r="G63" s="98" t="n">
        <x:v>0.92</x:v>
      </x:c>
      <x:c r="H63" s="98" t="n">
        <x:v>0.5</x:v>
      </x:c>
      <x:c r="I63" s="98" t="n">
        <x:v>0.76</x:v>
      </x:c>
      <x:c r="J63" s="98" t="n">
        <x:v>0.22484472049689436</x:v>
      </x:c>
      <x:c r="K63" s="90" t="n">
        <x:v>1</x:v>
      </x:c>
      <x:c r="L63" s="90" t="str">
        <x:v>C</x:v>
      </x:c>
      <x:c r="M63" s="90" t="str">
        <x:v>Data Science Intern</x:v>
      </x:c>
      <x:c r="N63" s="90" t="str">
        <x:v>Data Science</x:v>
      </x:c>
      <x:c r="O63" s="90" t="str">
        <x:v>ALSAC data science, propensity modeling, DataRobot, Python/SQL and ML research form a clear progression.</x:v>
      </x:c>
      <x:c r="P63" s="90" t="str">
        <x:v>Exact posting still controls CPT eligibility; LinkedIn network evidence pending</x:v>
      </x:c>
    </x:row>
    <x:row r="64" ht="46" customHeight="1">
      <x:c r="A64" s="90" t="str">
        <x:v>Oliver Wyman</x:v>
      </x:c>
      <x:c r="B64" s="98" t="n">
        <x:v>0.82</x:v>
      </x:c>
      <x:c r="C64" s="98" t="n">
        <x:v>0.8047166474464309</x:v>
      </x:c>
      <x:c r="D64" s="98" t="n">
        <x:v>0.08477764964287206</x:v>
      </x:c>
      <x:c r="E64" s="98" t="n">
        <x:v>0.635</x:v>
      </x:c>
      <x:c r="F64" s="98" t="n">
        <x:v>0.5</x:v>
      </x:c>
      <x:c r="G64" s="98" t="n">
        <x:v>0.8</x:v>
      </x:c>
      <x:c r="H64" s="98" t="n">
        <x:v>0.5</x:v>
      </x:c>
      <x:c r="I64" s="98" t="n">
        <x:v>0.6799999999999999</x:v>
      </x:c>
      <x:c r="J64" s="98" t="n">
        <x:v>0.5478260869565218</x:v>
      </x:c>
      <x:c r="K64" s="90" t="n">
        <x:v>0</x:v>
      </x:c>
      <x:c r="L64" s="90" t="str">
        <x:v>D</x:v>
      </x:c>
      <x:c r="M64" s="90" t="str">
        <x:v>Summer Intern (Consulting/Digital)</x:v>
      </x:c>
      <x:c r="N64" s="90" t="str">
        <x:v>Analytics Consulting</x:v>
      </x:c>
      <x:c r="O64" s="90" t="str">
        <x:v>Technical analytics plus economics, research and residential leadership support client-facing analytical work.</x:v>
      </x:c>
      <x:c r="P64" s="90" t="str">
        <x:v>Exact posting still controls CPT eligibility; 3.31 GPA may sit below a preferred threshold; No matching public role found in reviewed trackers; LinkedIn network evidence pending</x:v>
      </x:c>
    </x:row>
    <x:row r="65" ht="46" customHeight="1">
      <x:c r="A65" s="90" t="str">
        <x:v>Gartner</x:v>
      </x:c>
      <x:c r="B65" s="98" t="n">
        <x:v>0.62</x:v>
      </x:c>
      <x:c r="C65" s="98" t="n">
        <x:v>0.919776664817223</x:v>
      </x:c>
      <x:c r="D65" s="98" t="n">
        <x:v>0.46517776544815315</x:v>
      </x:c>
      <x:c r="E65" s="98" t="n">
        <x:v>0.644</x:v>
      </x:c>
      <x:c r="F65" s="98" t="n">
        <x:v>0.5</x:v>
      </x:c>
      <x:c r="G65" s="98" t="n">
        <x:v>0.92</x:v>
      </x:c>
      <x:c r="H65" s="98" t="n">
        <x:v>0.5</x:v>
      </x:c>
      <x:c r="I65" s="98" t="n">
        <x:v>0.76</x:v>
      </x:c>
      <x:c r="J65" s="98" t="n">
        <x:v>0.6074534161490683</x:v>
      </x:c>
      <x:c r="K65" s="90" t="n">
        <x:v>0</x:v>
      </x:c>
      <x:c r="L65" s="90" t="str">
        <x:v>D</x:v>
      </x:c>
      <x:c r="M65" s="90" t="str">
        <x:v>Data Analytics Intern</x:v>
      </x:c>
      <x:c r="N65" s="90" t="str">
        <x:v>Data Analytics</x:v>
      </x:c>
      <x:c r="O65" s="90" t="str">
        <x:v>Three analytics internships plus SQL, Python, Tableau, forecasting and segmentation directly match the lane.</x:v>
      </x:c>
      <x:c r="P65" s="90" t="str">
        <x:v>CPT/future-sponsorship wording must be verified; No matching public role found in reviewed trackers; LinkedIn network evidence pending</x:v>
      </x:c>
    </x:row>
    <x:row r="66" ht="46" customHeight="1">
      <x:c r="A66" s="90" t="str">
        <x:v>BlackRock</x:v>
      </x:c>
      <x:c r="B66" s="98" t="n">
        <x:v>0.82</x:v>
      </x:c>
      <x:c r="C66" s="98" t="n">
        <x:v>0.8044337761190021</x:v>
      </x:c>
      <x:c r="D66" s="98" t="n">
        <x:v>0.34955850746001393</x:v>
      </x:c>
      <x:c r="E66" s="98" t="n">
        <x:v>0.633604660490544</x:v>
      </x:c>
      <x:c r="F66" s="98" t="n">
        <x:v>1</x:v>
      </x:c>
      <x:c r="G66" s="98" t="n">
        <x:v>0.92</x:v>
      </x:c>
      <x:c r="H66" s="98" t="n">
        <x:v>0.5</x:v>
      </x:c>
      <x:c r="I66" s="98" t="n">
        <x:v>0.64</x:v>
      </x:c>
      <x:c r="J66" s="98" t="n">
        <x:v>0.4037267080745342</x:v>
      </x:c>
      <x:c r="K66" s="90" t="n">
        <x:v>1</x:v>
      </x:c>
      <x:c r="L66" s="90" t="str">
        <x:v>A</x:v>
      </x:c>
      <x:c r="M66" s="90" t="str">
        <x:v>Data Science / Aladdin Summer Analyst</x:v>
      </x:c>
      <x:c r="N66" s="90" t="str">
        <x:v>Data Science</x:v>
      </x:c>
      <x:c r="O66" s="90" t="str">
        <x:v>ALSAC data science, propensity modeling, DataRobot, Python/SQL and ML research form a clear progression.</x:v>
      </x:c>
      <x:c r="P66" s="90" t="str">
        <x:v>Exact posting still controls CPT eligibility; 3.31 GPA may sit below a preferred threshold; LinkedIn network evidence pending</x:v>
      </x:c>
    </x:row>
    <x:row r="67" ht="46" customHeight="1">
      <x:c r="A67" s="90" t="str">
        <x:v>Nike</x:v>
      </x:c>
      <x:c r="B67" s="98" t="n">
        <x:v>0.62</x:v>
      </x:c>
      <x:c r="C67" s="98" t="n">
        <x:v>0.9198000386875174</x:v>
      </x:c>
      <x:c r="D67" s="98" t="n">
        <x:v>0.6853335912501147</x:v>
      </x:c>
      <x:c r="E67" s="98" t="n">
        <x:v>0.545</x:v>
      </x:c>
      <x:c r="F67" s="98" t="n">
        <x:v>0.5</x:v>
      </x:c>
      <x:c r="G67" s="98" t="n">
        <x:v>0.8</x:v>
      </x:c>
      <x:c r="H67" s="98" t="n">
        <x:v>0.5</x:v>
      </x:c>
      <x:c r="I67" s="98" t="n">
        <x:v>0.76</x:v>
      </x:c>
      <x:c r="J67" s="98" t="n">
        <x:v>0.8459627329192546</x:v>
      </x:c>
      <x:c r="K67" s="90" t="n">
        <x:v>0</x:v>
      </x:c>
      <x:c r="L67" s="90" t="str">
        <x:v>D</x:v>
      </x:c>
      <x:c r="M67" s="90" t="str">
        <x:v>Data Science / Analytics Intern</x:v>
      </x:c>
      <x:c r="N67" s="90" t="str">
        <x:v>Data Science</x:v>
      </x:c>
      <x:c r="O67" s="90" t="str">
        <x:v>ALSAC data science, propensity modeling, DataRobot, Python/SQL and ML research form a clear progression. Consumer insights and segmentation are especially aligned with his prior work.</x:v>
      </x:c>
      <x:c r="P67" s="90" t="str">
        <x:v>CPT/future-sponsorship wording must be verified; Observed roles show graduate-degree skew; No matching public role found in reviewed trackers; LinkedIn network evidence pending</x:v>
      </x:c>
    </x:row>
    <x:row r="68" ht="46" customHeight="1">
      <x:c r="A68" s="90" t="str">
        <x:v>Moody's</x:v>
      </x:c>
      <x:c r="B68" s="98" t="n">
        <x:v>0.82</x:v>
      </x:c>
      <x:c r="C68" s="98" t="n">
        <x:v>0.8412925775164521</x:v>
      </x:c>
      <x:c r="D68" s="98" t="n">
        <x:v>0.5952838501096804</x:v>
      </x:c>
      <x:c r="E68" s="98" t="n">
        <x:v>0.545</x:v>
      </x:c>
      <x:c r="F68" s="98" t="n">
        <x:v>0.5</x:v>
      </x:c>
      <x:c r="G68" s="98" t="n">
        <x:v>0.92</x:v>
      </x:c>
      <x:c r="H68" s="98" t="n">
        <x:v>0.5</x:v>
      </x:c>
      <x:c r="I68" s="98" t="n">
        <x:v>0.76</x:v>
      </x:c>
      <x:c r="J68" s="98" t="n">
        <x:v>0.36894409937888195</x:v>
      </x:c>
      <x:c r="K68" s="90" t="n">
        <x:v>0</x:v>
      </x:c>
      <x:c r="L68" s="90" t="str">
        <x:v>D</x:v>
      </x:c>
      <x:c r="M68" s="90" t="str">
        <x:v>Data Science / Analytics Intern</x:v>
      </x:c>
      <x:c r="N68" s="90" t="str">
        <x:v>Data Science</x:v>
      </x:c>
      <x:c r="O68" s="90" t="str">
        <x:v>ALSAC data science, propensity modeling, DataRobot, Python/SQL and ML research form a clear progression.</x:v>
      </x:c>
      <x:c r="P68" s="90" t="str">
        <x:v>Exact posting still controls CPT eligibility; Observed roles show graduate-degree skew; No matching public role found in reviewed trackers; LinkedIn network evidence pending</x:v>
      </x:c>
    </x:row>
    <x:row r="69" ht="46" customHeight="1">
      <x:c r="A69" s="90" t="str">
        <x:v>CVS Health</x:v>
      </x:c>
      <x:c r="B69" s="98" t="n">
        <x:v>0.82</x:v>
      </x:c>
      <x:c r="C69" s="98" t="n">
        <x:v>0.907</x:v>
      </x:c>
      <x:c r="D69" s="98" t="n">
        <x:v>1</x:v>
      </x:c>
      <x:c r="E69" s="98" t="n">
        <x:v>0.6209946273209599</x:v>
      </x:c>
      <x:c r="F69" s="98" t="n">
        <x:v>1</x:v>
      </x:c>
      <x:c r="G69" s="98" t="n">
        <x:v>0.28</x:v>
      </x:c>
      <x:c r="H69" s="98" t="n">
        <x:v>0.5</x:v>
      </x:c>
      <x:c r="I69" s="98" t="n">
        <x:v>0.76</x:v>
      </x:c>
      <x:c r="J69" s="98" t="n">
        <x:v>0.7565217391304347</x:v>
      </x:c>
      <x:c r="K69" s="90" t="n">
        <x:v>1</x:v>
      </x:c>
      <x:c r="L69" s="90" t="str">
        <x:v>C</x:v>
      </x:c>
      <x:c r="M69" s="90" t="str">
        <x:v>Data Science / Analytics Intern</x:v>
      </x:c>
      <x:c r="N69" s="90" t="str">
        <x:v>Data Science</x:v>
      </x:c>
      <x:c r="O69" s="90" t="str">
        <x:v>ALSAC data science, propensity modeling, DataRobot, Python/SQL and ML research form a clear progression.</x:v>
      </x:c>
      <x:c r="P69" s="90" t="str">
        <x:v>Exact posting still controls CPT eligibility; Low personal industry preference; LinkedIn network evidence pending</x:v>
      </x:c>
    </x:row>
    <x:row r="70" ht="46" customHeight="1">
      <x:c r="A70" s="90" t="str">
        <x:v>Samsung Research America</x:v>
      </x:c>
      <x:c r="B70" s="98" t="n">
        <x:v>0.82</x:v>
      </x:c>
      <x:c r="C70" s="98" t="n">
        <x:v>0.8023783515315437</x:v>
      </x:c>
      <x:c r="D70" s="98" t="n">
        <x:v>0.33585567687695816</x:v>
      </x:c>
      <x:c r="E70" s="98" t="n">
        <x:v>0.60825020785133</x:v>
      </x:c>
      <x:c r="F70" s="98" t="n">
        <x:v>0.75</x:v>
      </x:c>
      <x:c r="G70" s="98" t="n">
        <x:v>0.62</x:v>
      </x:c>
      <x:c r="H70" s="98" t="n">
        <x:v>0.5</x:v>
      </x:c>
      <x:c r="I70" s="98" t="n">
        <x:v>0.76</x:v>
      </x:c>
      <x:c r="J70" s="98" t="n">
        <x:v>0.6521739130434783</x:v>
      </x:c>
      <x:c r="K70" s="90" t="n">
        <x:v>2</x:v>
      </x:c>
      <x:c r="L70" s="90" t="str">
        <x:v>C</x:v>
      </x:c>
      <x:c r="M70" s="90" t="str">
        <x:v>Data Science / ML Intern</x:v>
      </x:c>
      <x:c r="N70" s="90" t="str">
        <x:v>Data Science</x:v>
      </x:c>
      <x:c r="O70" s="90" t="str">
        <x:v>ALSAC data science, propensity modeling, DataRobot, Python/SQL and ML research form a clear progression.</x:v>
      </x:c>
      <x:c r="P70" s="90" t="str">
        <x:v>Exact posting still controls CPT eligibility; LinkedIn network evidence pending</x:v>
      </x:c>
    </x:row>
    <x:row r="71" ht="46" customHeight="1">
      <x:c r="A71" s="90" t="str">
        <x:v>Databricks</x:v>
      </x:c>
      <x:c r="B71" s="98" t="n">
        <x:v>0.82</x:v>
      </x:c>
      <x:c r="C71" s="98" t="n">
        <x:v>0.816919733434889</x:v>
      </x:c>
      <x:c r="D71" s="98" t="n">
        <x:v>0.4327982228992597</x:v>
      </x:c>
      <x:c r="E71" s="98" t="n">
        <x:v>0.545</x:v>
      </x:c>
      <x:c r="F71" s="98" t="n">
        <x:v>0.5</x:v>
      </x:c>
      <x:c r="G71" s="98" t="n">
        <x:v>0.88</x:v>
      </x:c>
      <x:c r="H71" s="98" t="n">
        <x:v>0.5</x:v>
      </x:c>
      <x:c r="I71" s="98" t="n">
        <x:v>0.76</x:v>
      </x:c>
      <x:c r="J71" s="98" t="n">
        <x:v>0.41863354037267075</x:v>
      </x:c>
      <x:c r="K71" s="90" t="n">
        <x:v>0</x:v>
      </x:c>
      <x:c r="L71" s="90" t="str">
        <x:v>D</x:v>
      </x:c>
      <x:c r="M71" s="90" t="str">
        <x:v>Data Science / SWE Intern</x:v>
      </x:c>
      <x:c r="N71" s="90" t="str">
        <x:v>Data Science</x:v>
      </x:c>
      <x:c r="O71" s="90" t="str">
        <x:v>ALSAC data science, propensity modeling, DataRobot, Python/SQL and ML research form a clear progression.</x:v>
      </x:c>
      <x:c r="P71" s="90" t="str">
        <x:v>Exact posting still controls CPT eligibility; Observed roles show graduate-degree skew; No matching public role found in reviewed trackers; LinkedIn network evidence pending</x:v>
      </x:c>
    </x:row>
    <x:row r="72" ht="46" customHeight="1">
      <x:c r="A72" s="90" t="str">
        <x:v>Deutsche Bank</x:v>
      </x:c>
      <x:c r="B72" s="98" t="n">
        <x:v>0.82</x:v>
      </x:c>
      <x:c r="C72" s="98" t="n">
        <x:v>0.8704631653001571</x:v>
      </x:c>
      <x:c r="D72" s="98" t="n">
        <x:v>0.13642110200104762</x:v>
      </x:c>
      <x:c r="E72" s="98" t="n">
        <x:v>0.644</x:v>
      </x:c>
      <x:c r="F72" s="98" t="n">
        <x:v>0.5</x:v>
      </x:c>
      <x:c r="G72" s="98" t="n">
        <x:v>0.76</x:v>
      </x:c>
      <x:c r="H72" s="98" t="n">
        <x:v>0.5</x:v>
      </x:c>
      <x:c r="I72" s="98" t="n">
        <x:v>0.64</x:v>
      </x:c>
      <x:c r="J72" s="98" t="n">
        <x:v>0.3291925465838509</x:v>
      </x:c>
      <x:c r="K72" s="90" t="n">
        <x:v>0</x:v>
      </x:c>
      <x:c r="L72" s="90" t="str">
        <x:v>D</x:v>
      </x:c>
      <x:c r="M72" s="90" t="str">
        <x:v>Technology / Data Analyst Intern</x:v>
      </x:c>
      <x:c r="N72" s="90" t="str">
        <x:v>Data Analytics</x:v>
      </x:c>
      <x:c r="O72" s="90" t="str">
        <x:v>Three analytics internships plus SQL, Python, Tableau, forecasting and segmentation directly match the lane.</x:v>
      </x:c>
      <x:c r="P72" s="90" t="str">
        <x:v>Exact posting still controls CPT eligibility; 3.31 GPA may sit below a preferred threshold; No matching public role found in reviewed trackers; LinkedIn network evidence pending</x:v>
      </x:c>
    </x:row>
    <x:row r="73" ht="46" customHeight="1">
      <x:c r="A73" s="90" t="str">
        <x:v>Sony Interactive (PlayStation)</x:v>
      </x:c>
      <x:c r="B73" s="98" t="n">
        <x:v>0.62</x:v>
      </x:c>
      <x:c r="C73" s="98" t="n">
        <x:v>0.938676388775964</x:v>
      </x:c>
      <x:c r="D73" s="98" t="n">
        <x:v>0.5911759251730938</x:v>
      </x:c>
      <x:c r="E73" s="98" t="n">
        <x:v>0.644</x:v>
      </x:c>
      <x:c r="F73" s="98" t="n">
        <x:v>0.5</x:v>
      </x:c>
      <x:c r="G73" s="98" t="n">
        <x:v>0.88</x:v>
      </x:c>
      <x:c r="H73" s="98" t="n">
        <x:v>0.5</x:v>
      </x:c>
      <x:c r="I73" s="98" t="n">
        <x:v>0.76</x:v>
      </x:c>
      <x:c r="J73" s="98" t="n">
        <x:v>0.5031055900621119</x:v>
      </x:c>
      <x:c r="K73" s="90" t="n">
        <x:v>0</x:v>
      </x:c>
      <x:c r="L73" s="90" t="str">
        <x:v>D</x:v>
      </x:c>
      <x:c r="M73" s="90" t="str">
        <x:v>Data Analytics Intern</x:v>
      </x:c>
      <x:c r="N73" s="90" t="str">
        <x:v>Data Analytics</x:v>
      </x:c>
      <x:c r="O73" s="90" t="str">
        <x:v>Three analytics internships plus SQL, Python, Tableau, forecasting and segmentation directly match the lane.</x:v>
      </x:c>
      <x:c r="P73" s="90" t="str">
        <x:v>CPT/future-sponsorship wording must be verified; No matching public role found in reviewed trackers; LinkedIn network evidence pending</x:v>
      </x:c>
    </x:row>
    <x:row r="74" ht="46" customHeight="1">
      <x:c r="A74" s="90" t="str">
        <x:v>Epsilon</x:v>
      </x:c>
      <x:c r="B74" s="98" t="n">
        <x:v>0.62</x:v>
      </x:c>
      <x:c r="C74" s="98" t="n">
        <x:v>0.8430140422891099</x:v>
      </x:c>
      <x:c r="D74" s="98" t="n">
        <x:v>0.40676028192739827</x:v>
      </x:c>
      <x:c r="E74" s="98" t="n">
        <x:v>0.545</x:v>
      </x:c>
      <x:c r="F74" s="98" t="n">
        <x:v>0.5</x:v>
      </x:c>
      <x:c r="G74" s="98" t="n">
        <x:v>0.92</x:v>
      </x:c>
      <x:c r="H74" s="98" t="n">
        <x:v>0.5</x:v>
      </x:c>
      <x:c r="I74" s="98" t="n">
        <x:v>0.76</x:v>
      </x:c>
      <x:c r="J74" s="98" t="n">
        <x:v>0.8012422360248447</x:v>
      </x:c>
      <x:c r="K74" s="90" t="n">
        <x:v>0</x:v>
      </x:c>
      <x:c r="L74" s="90" t="str">
        <x:v>D</x:v>
      </x:c>
      <x:c r="M74" s="90" t="str">
        <x:v>Data Science Intern</x:v>
      </x:c>
      <x:c r="N74" s="90" t="str">
        <x:v>Data Science</x:v>
      </x:c>
      <x:c r="O74" s="90" t="str">
        <x:v>ALSAC data science, propensity modeling, DataRobot, Python/SQL and ML research form a clear progression.</x:v>
      </x:c>
      <x:c r="P74" s="90" t="str">
        <x:v>CPT/future-sponsorship wording must be verified; Observed roles show graduate-degree skew; No matching public role found in reviewed trackers; LinkedIn network evidence pending</x:v>
      </x:c>
    </x:row>
    <x:row r="75" ht="46" customHeight="1">
      <x:c r="A75" s="90" t="str">
        <x:v>Meta</x:v>
      </x:c>
      <x:c r="B75" s="98" t="n">
        <x:v>0.9</x:v>
      </x:c>
      <x:c r="C75" s="98" t="n">
        <x:v>0.8014719854579924</x:v>
      </x:c>
      <x:c r="D75" s="98" t="n">
        <x:v>0.329813236386616</x:v>
      </x:c>
      <x:c r="E75" s="98" t="n">
        <x:v>0.465992434152383</x:v>
      </x:c>
      <x:c r="F75" s="98" t="n">
        <x:v>0.05</x:v>
      </x:c>
      <x:c r="G75" s="98" t="n">
        <x:v>0.92</x:v>
      </x:c>
      <x:c r="H75" s="98" t="n">
        <x:v>0.5</x:v>
      </x:c>
      <x:c r="I75" s="98" t="n">
        <x:v>0.76</x:v>
      </x:c>
      <x:c r="J75" s="98" t="n">
        <x:v>0.23478260869565215</x:v>
      </x:c>
      <x:c r="K75" s="90" t="n">
        <x:v>1</x:v>
      </x:c>
      <x:c r="L75" s="90" t="str">
        <x:v>C</x:v>
      </x:c>
      <x:c r="M75" s="90" t="str">
        <x:v>Data Science Intern (Analytics)</x:v>
      </x:c>
      <x:c r="N75" s="90" t="str">
        <x:v>Data Science</x:v>
      </x:c>
      <x:c r="O75" s="90" t="str">
        <x:v>ALSAC data science, propensity modeling, DataRobot, Python/SQL and ML research form a clear progression.</x:v>
      </x:c>
      <x:c r="P75" s="90" t="str">
        <x:v>Exact posting still controls CPT eligibility; Observed roles show graduate-degree skew; LinkedIn network evidence pending</x:v>
      </x:c>
    </x:row>
    <x:row r="76" ht="46" customHeight="1">
      <x:c r="A76" s="90" t="str">
        <x:v>Goldman Sachs</x:v>
      </x:c>
      <x:c r="B76" s="98" t="n">
        <x:v>0.9</x:v>
      </x:c>
      <x:c r="C76" s="98" t="n">
        <x:v>0.7869074508804104</x:v>
      </x:c>
      <x:c r="D76" s="98" t="n">
        <x:v>0.25938300586940205</x:v>
      </x:c>
      <x:c r="E76" s="98" t="n">
        <x:v>0.635</x:v>
      </x:c>
      <x:c r="F76" s="98" t="n">
        <x:v>0.5</x:v>
      </x:c>
      <x:c r="G76" s="98" t="n">
        <x:v>0.76</x:v>
      </x:c>
      <x:c r="H76" s="98" t="n">
        <x:v>0.5</x:v>
      </x:c>
      <x:c r="I76" s="98" t="n">
        <x:v>0.64</x:v>
      </x:c>
      <x:c r="J76" s="98" t="n">
        <x:v>0.2645962732919255</x:v>
      </x:c>
      <x:c r="K76" s="90" t="n">
        <x:v>0</x:v>
      </x:c>
      <x:c r="L76" s="90" t="str">
        <x:v>D</x:v>
      </x:c>
      <x:c r="M76" s="90" t="str">
        <x:v>Summer Analyst - Engineering / Data (2027 apps open early)</x:v>
      </x:c>
      <x:c r="N76" s="90" t="str">
        <x:v>Business/Strategy Analytics</x:v>
      </x:c>
      <x:c r="O76" s="90" t="str">
        <x:v>Economics, consumer analytics and Student Leader communication support analytical business decisions.</x:v>
      </x:c>
      <x:c r="P76" s="90" t="str">
        <x:v>Exact posting still controls CPT eligibility; 3.31 GPA may sit below a preferred threshold; No matching public role found in reviewed trackers; LinkedIn network evidence pending</x:v>
      </x:c>
    </x:row>
    <x:row r="77" ht="46" customHeight="1">
      <x:c r="A77" s="90" t="str">
        <x:v>McKinsey &amp; Company</x:v>
      </x:c>
      <x:c r="B77" s="98" t="n">
        <x:v>0.82</x:v>
      </x:c>
      <x:c r="C77" s="98" t="n">
        <x:v>0.8381551354382215</x:v>
      </x:c>
      <x:c r="D77" s="98" t="n">
        <x:v>0.3077009029214764</x:v>
      </x:c>
      <x:c r="E77" s="98" t="n">
        <x:v>0.635</x:v>
      </x:c>
      <x:c r="F77" s="98" t="n">
        <x:v>0.5</x:v>
      </x:c>
      <x:c r="G77" s="98" t="n">
        <x:v>0.8</x:v>
      </x:c>
      <x:c r="H77" s="98" t="n">
        <x:v>0.5</x:v>
      </x:c>
      <x:c r="I77" s="98" t="n">
        <x:v>0.6799999999999999</x:v>
      </x:c>
      <x:c r="J77" s="98" t="n">
        <x:v>0.28447204968944095</x:v>
      </x:c>
      <x:c r="K77" s="90" t="n">
        <x:v>0</x:v>
      </x:c>
      <x:c r="L77" s="90" t="str">
        <x:v>D</x:v>
      </x:c>
      <x:c r="M77" s="90" t="str">
        <x:v>Data Science / Analytics Intern (QuantumBlack)</x:v>
      </x:c>
      <x:c r="N77" s="90" t="str">
        <x:v>Analytics Consulting</x:v>
      </x:c>
      <x:c r="O77" s="90" t="str">
        <x:v>Technical analytics plus economics, research and residential leadership support client-facing analytical work.</x:v>
      </x:c>
      <x:c r="P77" s="90" t="str">
        <x:v>Exact posting still controls CPT eligibility; 3.31 GPA may sit below a preferred threshold; No matching public role found in reviewed trackers; LinkedIn network evidence pending</x:v>
      </x:c>
    </x:row>
    <x:row r="78" ht="46" customHeight="1">
      <x:c r="A78" s="90" t="str">
        <x:v>NVIDIA</x:v>
      </x:c>
      <x:c r="B78" s="98" t="n">
        <x:v>0.82</x:v>
      </x:c>
      <x:c r="C78" s="98" t="n">
        <x:v>0.8867386486719564</x:v>
      </x:c>
      <x:c r="D78" s="98" t="n">
        <x:v>0.898257657813042</x:v>
      </x:c>
      <x:c r="E78" s="98" t="n">
        <x:v>0.545</x:v>
      </x:c>
      <x:c r="F78" s="98" t="n">
        <x:v>0.5</x:v>
      </x:c>
      <x:c r="G78" s="98" t="n">
        <x:v>0.62</x:v>
      </x:c>
      <x:c r="H78" s="98" t="n">
        <x:v>0.5</x:v>
      </x:c>
      <x:c r="I78" s="98" t="n">
        <x:v>0.76</x:v>
      </x:c>
      <x:c r="J78" s="98" t="n">
        <x:v>0.42857142857142855</x:v>
      </x:c>
      <x:c r="K78" s="90" t="n">
        <x:v>0</x:v>
      </x:c>
      <x:c r="L78" s="90" t="str">
        <x:v>D</x:v>
      </x:c>
      <x:c r="M78" s="90" t="str">
        <x:v>Data Science / Analytics Intern</x:v>
      </x:c>
      <x:c r="N78" s="90" t="str">
        <x:v>Data Science</x:v>
      </x:c>
      <x:c r="O78" s="90" t="str">
        <x:v>ALSAC data science, propensity modeling, DataRobot, Python/SQL and ML research form a clear progression.</x:v>
      </x:c>
      <x:c r="P78" s="90" t="str">
        <x:v>Exact posting still controls CPT eligibility; Observed roles show graduate-degree skew; No matching public role found in reviewed trackers; LinkedIn network evidence pending</x:v>
      </x:c>
    </x:row>
    <x:row r="79" ht="46" customHeight="1">
      <x:c r="A79" s="90" t="str">
        <x:v>Carilion Clinic</x:v>
      </x:c>
      <x:c r="B79" s="98" t="n">
        <x:v>0.62</x:v>
      </x:c>
      <x:c r="C79" s="98" t="n">
        <x:v>1</x:v>
      </x:c>
      <x:c r="D79" s="98" t="n">
        <x:v>1</x:v>
      </x:c>
      <x:c r="E79" s="98" t="n">
        <x:v>0.644</x:v>
      </x:c>
      <x:c r="F79" s="98" t="n">
        <x:v>0.5</x:v>
      </x:c>
      <x:c r="G79" s="98" t="n">
        <x:v>0.28</x:v>
      </x:c>
      <x:c r="H79" s="98" t="n">
        <x:v>0.62</x:v>
      </x:c>
      <x:c r="I79" s="98" t="n">
        <x:v>0.76</x:v>
      </x:c>
      <x:c r="J79" s="98" t="n">
        <x:v>0.9155279503105589</x:v>
      </x:c>
      <x:c r="K79" s="90" t="n">
        <x:v>0</x:v>
      </x:c>
      <x:c r="L79" s="90" t="str">
        <x:v>D</x:v>
      </x:c>
      <x:c r="M79" s="90" t="str">
        <x:v>Data Analytics Intern</x:v>
      </x:c>
      <x:c r="N79" s="90" t="str">
        <x:v>Data Analytics</x:v>
      </x:c>
      <x:c r="O79" s="90" t="str">
        <x:v>Three analytics internships plus SQL, Python, Tableau, forecasting and segmentation directly match the lane.</x:v>
      </x:c>
      <x:c r="P79" s="90" t="str">
        <x:v>CPT/future-sponsorship wording must be verified; Low personal industry preference; No matching public role found in reviewed trackers</x:v>
      </x:c>
    </x:row>
    <x:row r="80" ht="46" customHeight="1">
      <x:c r="A80" s="90" t="str">
        <x:v>TikTok</x:v>
      </x:c>
      <x:c r="B80" s="98" t="n">
        <x:v>0.82</x:v>
      </x:c>
      <x:c r="C80" s="98" t="n">
        <x:v>0.781871363638776</x:v>
      </x:c>
      <x:c r="D80" s="98" t="n">
        <x:v>0.19914242425850637</x:v>
      </x:c>
      <x:c r="E80" s="98" t="n">
        <x:v>0.545</x:v>
      </x:c>
      <x:c r="F80" s="98" t="n">
        <x:v>0.5</x:v>
      </x:c>
      <x:c r="G80" s="98" t="n">
        <x:v>0.88</x:v>
      </x:c>
      <x:c r="H80" s="98" t="n">
        <x:v>0.5</x:v>
      </x:c>
      <x:c r="I80" s="98" t="n">
        <x:v>0.76</x:v>
      </x:c>
      <x:c r="J80" s="98" t="n">
        <x:v>0.4236024844720497</x:v>
      </x:c>
      <x:c r="K80" s="90" t="n">
        <x:v>0</x:v>
      </x:c>
      <x:c r="L80" s="90" t="str">
        <x:v>D</x:v>
      </x:c>
      <x:c r="M80" s="90" t="str">
        <x:v>Data Scientist Intern (BS/MS)</x:v>
      </x:c>
      <x:c r="N80" s="90" t="str">
        <x:v>Data Science</x:v>
      </x:c>
      <x:c r="O80" s="90" t="str">
        <x:v>ALSAC data science, propensity modeling, DataRobot, Python/SQL and ML research form a clear progression.</x:v>
      </x:c>
      <x:c r="P80" s="90" t="str">
        <x:v>Exact posting still controls CPT eligibility; Observed roles show graduate-degree skew; No matching public role found in reviewed trackers; LinkedIn network evidence pending</x:v>
      </x:c>
    </x:row>
    <x:row r="81" ht="46" customHeight="1">
      <x:c r="A81" s="90" t="str">
        <x:v>Accenture</x:v>
      </x:c>
      <x:c r="B81" s="98" t="n">
        <x:v>0.62</x:v>
      </x:c>
      <x:c r="C81" s="98" t="n">
        <x:v>0.8161688396979273</x:v>
      </x:c>
      <x:c r="D81" s="98" t="n">
        <x:v>0.1611255979861819</x:v>
      </x:c>
      <x:c r="E81" s="98" t="n">
        <x:v>0.635</x:v>
      </x:c>
      <x:c r="F81" s="98" t="n">
        <x:v>0.5</x:v>
      </x:c>
      <x:c r="G81" s="98" t="n">
        <x:v>0.8</x:v>
      </x:c>
      <x:c r="H81" s="98" t="n">
        <x:v>0.5</x:v>
      </x:c>
      <x:c r="I81" s="98" t="n">
        <x:v>0.6799999999999999</x:v>
      </x:c>
      <x:c r="J81" s="98" t="n">
        <x:v>0.8956521739130435</x:v>
      </x:c>
      <x:c r="K81" s="90" t="n">
        <x:v>0</x:v>
      </x:c>
      <x:c r="L81" s="90" t="str">
        <x:v>D</x:v>
      </x:c>
      <x:c r="M81" s="90" t="str">
        <x:v>Data Science / Analytics Summer Analyst</x:v>
      </x:c>
      <x:c r="N81" s="90" t="str">
        <x:v>Analytics Consulting</x:v>
      </x:c>
      <x:c r="O81" s="90" t="str">
        <x:v>Technical analytics plus economics, research and residential leadership support client-facing analytical work.</x:v>
      </x:c>
      <x:c r="P81" s="90" t="str">
        <x:v>CPT/future-sponsorship wording must be verified; 3.31 GPA may sit below a preferred threshold; No matching public role found in reviewed trackers; LinkedIn network evidence pending</x:v>
      </x:c>
    </x:row>
    <x:row r="82" ht="46" customHeight="1">
      <x:c r="A82" s="90" t="str">
        <x:v>J.P. Morgan</x:v>
      </x:c>
      <x:c r="B82" s="98" t="n">
        <x:v>0.82</x:v>
      </x:c>
      <x:c r="C82" s="98" t="n">
        <x:v>0.8567334174255485</x:v>
      </x:c>
      <x:c r="D82" s="98" t="n">
        <x:v>0.04488944950365718</x:v>
      </x:c>
      <x:c r="E82" s="98" t="n">
        <x:v>0.644</x:v>
      </x:c>
      <x:c r="F82" s="98" t="n">
        <x:v>0.5</x:v>
      </x:c>
      <x:c r="G82" s="98" t="n">
        <x:v>0.76</x:v>
      </x:c>
      <x:c r="H82" s="98" t="n">
        <x:v>0.5</x:v>
      </x:c>
      <x:c r="I82" s="98" t="n">
        <x:v>0.64</x:v>
      </x:c>
      <x:c r="J82" s="98" t="n">
        <x:v>0.2596273291925466</x:v>
      </x:c>
      <x:c r="K82" s="90" t="n">
        <x:v>0</x:v>
      </x:c>
      <x:c r="L82" s="90" t="str">
        <x:v>D</x:v>
      </x:c>
      <x:c r="M82" s="90" t="str">
        <x:v>Data Analytics / Quant Summer Analyst</x:v>
      </x:c>
      <x:c r="N82" s="90" t="str">
        <x:v>Data Analytics</x:v>
      </x:c>
      <x:c r="O82" s="90" t="str">
        <x:v>Three analytics internships plus SQL, Python, Tableau, forecasting and segmentation directly match the lane.</x:v>
      </x:c>
      <x:c r="P82" s="90" t="str">
        <x:v>Exact posting still controls CPT eligibility; 3.31 GPA may sit below a preferred threshold; No matching public role found in reviewed trackers; LinkedIn network evidence pending</x:v>
      </x:c>
    </x:row>
    <x:row r="83" ht="46" customHeight="1">
      <x:c r="A83" s="90" t="str">
        <x:v>Merck</x:v>
      </x:c>
      <x:c r="B83" s="98" t="n">
        <x:v>0.82</x:v>
      </x:c>
      <x:c r="C83" s="98" t="n">
        <x:v>0.8709499858336214</x:v>
      </x:c>
      <x:c r="D83" s="98" t="n">
        <x:v>0.7596665722241431</x:v>
      </x:c>
      <x:c r="E83" s="98" t="n">
        <x:v>0.545</x:v>
      </x:c>
      <x:c r="F83" s="98" t="n">
        <x:v>0.5</x:v>
      </x:c>
      <x:c r="G83" s="98" t="n">
        <x:v>0.28</x:v>
      </x:c>
      <x:c r="H83" s="98" t="n">
        <x:v>0.5</x:v>
      </x:c>
      <x:c r="I83" s="98" t="n">
        <x:v>0.76</x:v>
      </x:c>
      <x:c r="J83" s="98" t="n">
        <x:v>0.7863354037267081</x:v>
      </x:c>
      <x:c r="K83" s="90" t="n">
        <x:v>0</x:v>
      </x:c>
      <x:c r="L83" s="90" t="str">
        <x:v>D</x:v>
      </x:c>
      <x:c r="M83" s="90" t="str">
        <x:v>Data Science Intern</x:v>
      </x:c>
      <x:c r="N83" s="90" t="str">
        <x:v>Data Science</x:v>
      </x:c>
      <x:c r="O83" s="90" t="str">
        <x:v>ALSAC data science, propensity modeling, DataRobot, Python/SQL and ML research form a clear progression.</x:v>
      </x:c>
      <x:c r="P83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84" ht="46" customHeight="1">
      <x:c r="A84" s="90" t="str">
        <x:v>Eli Lilly</x:v>
      </x:c>
      <x:c r="B84" s="98" t="n">
        <x:v>0.82</x:v>
      </x:c>
      <x:c r="C84" s="98" t="n">
        <x:v>0.8709499858336214</x:v>
      </x:c>
      <x:c r="D84" s="98" t="n">
        <x:v>0.7596665722241431</x:v>
      </x:c>
      <x:c r="E84" s="98" t="n">
        <x:v>0.545</x:v>
      </x:c>
      <x:c r="F84" s="98" t="n">
        <x:v>0.5</x:v>
      </x:c>
      <x:c r="G84" s="98" t="n">
        <x:v>0.28</x:v>
      </x:c>
      <x:c r="H84" s="98" t="n">
        <x:v>0.5</x:v>
      </x:c>
      <x:c r="I84" s="98" t="n">
        <x:v>0.76</x:v>
      </x:c>
      <x:c r="J84" s="98" t="n">
        <x:v>0.7813664596273291</x:v>
      </x:c>
      <x:c r="K84" s="90" t="n">
        <x:v>0</x:v>
      </x:c>
      <x:c r="L84" s="90" t="str">
        <x:v>D</x:v>
      </x:c>
      <x:c r="M84" s="90" t="str">
        <x:v>Data Science Intern</x:v>
      </x:c>
      <x:c r="N84" s="90" t="str">
        <x:v>Data Science</x:v>
      </x:c>
      <x:c r="O84" s="90" t="str">
        <x:v>ALSAC data science, propensity modeling, DataRobot, Python/SQL and ML research form a clear progression.</x:v>
      </x:c>
      <x:c r="P84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85" ht="46" customHeight="1">
      <x:c r="A85" s="90" t="str">
        <x:v>AstraZeneca</x:v>
      </x:c>
      <x:c r="B85" s="98" t="n">
        <x:v>0.82</x:v>
      </x:c>
      <x:c r="C85" s="98" t="n">
        <x:v>0.8709499858336214</x:v>
      </x:c>
      <x:c r="D85" s="98" t="n">
        <x:v>0.7596665722241431</x:v>
      </x:c>
      <x:c r="E85" s="98" t="n">
        <x:v>0.545</x:v>
      </x:c>
      <x:c r="F85" s="98" t="n">
        <x:v>0.5</x:v>
      </x:c>
      <x:c r="G85" s="98" t="n">
        <x:v>0.28</x:v>
      </x:c>
      <x:c r="H85" s="98" t="n">
        <x:v>0.5</x:v>
      </x:c>
      <x:c r="I85" s="98" t="n">
        <x:v>0.76</x:v>
      </x:c>
      <x:c r="J85" s="98" t="n">
        <x:v>0.7664596273291926</x:v>
      </x:c>
      <x:c r="K85" s="90" t="n">
        <x:v>0</x:v>
      </x:c>
      <x:c r="L85" s="90" t="str">
        <x:v>D</x:v>
      </x:c>
      <x:c r="M85" s="90" t="str">
        <x:v>Data Science Intern</x:v>
      </x:c>
      <x:c r="N85" s="90" t="str">
        <x:v>Data Science</x:v>
      </x:c>
      <x:c r="O85" s="90" t="str">
        <x:v>ALSAC data science, propensity modeling, DataRobot, Python/SQL and ML research form a clear progression.</x:v>
      </x:c>
      <x:c r="P85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86" ht="46" customHeight="1">
      <x:c r="A86" s="90" t="str">
        <x:v>Bristol Myers Squibb</x:v>
      </x:c>
      <x:c r="B86" s="98" t="n">
        <x:v>0.82</x:v>
      </x:c>
      <x:c r="C86" s="98" t="n">
        <x:v>0.8709499858336214</x:v>
      </x:c>
      <x:c r="D86" s="98" t="n">
        <x:v>0.7596665722241431</x:v>
      </x:c>
      <x:c r="E86" s="98" t="n">
        <x:v>0.545</x:v>
      </x:c>
      <x:c r="F86" s="98" t="n">
        <x:v>0.5</x:v>
      </x:c>
      <x:c r="G86" s="98" t="n">
        <x:v>0.28</x:v>
      </x:c>
      <x:c r="H86" s="98" t="n">
        <x:v>0.5</x:v>
      </x:c>
      <x:c r="I86" s="98" t="n">
        <x:v>0.76</x:v>
      </x:c>
      <x:c r="J86" s="98" t="n">
        <x:v>0.7714285714285715</x:v>
      </x:c>
      <x:c r="K86" s="90" t="n">
        <x:v>0</x:v>
      </x:c>
      <x:c r="L86" s="90" t="str">
        <x:v>D</x:v>
      </x:c>
      <x:c r="M86" s="90" t="str">
        <x:v>Data Science Intern</x:v>
      </x:c>
      <x:c r="N86" s="90" t="str">
        <x:v>Data Science</x:v>
      </x:c>
      <x:c r="O86" s="90" t="str">
        <x:v>ALSAC data science, propensity modeling, DataRobot, Python/SQL and ML research form a clear progression.</x:v>
      </x:c>
      <x:c r="P86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87" ht="46" customHeight="1">
      <x:c r="A87" s="90" t="str">
        <x:v>Genentech</x:v>
      </x:c>
      <x:c r="B87" s="98" t="n">
        <x:v>0.82</x:v>
      </x:c>
      <x:c r="C87" s="98" t="n">
        <x:v>0.8709499858336214</x:v>
      </x:c>
      <x:c r="D87" s="98" t="n">
        <x:v>0.7596665722241431</x:v>
      </x:c>
      <x:c r="E87" s="98" t="n">
        <x:v>0.545</x:v>
      </x:c>
      <x:c r="F87" s="98" t="n">
        <x:v>0.5</x:v>
      </x:c>
      <x:c r="G87" s="98" t="n">
        <x:v>0.28</x:v>
      </x:c>
      <x:c r="H87" s="98" t="n">
        <x:v>0.5</x:v>
      </x:c>
      <x:c r="I87" s="98" t="n">
        <x:v>0.76</x:v>
      </x:c>
      <x:c r="J87" s="98" t="n">
        <x:v>0.7763975155279503</x:v>
      </x:c>
      <x:c r="K87" s="90" t="n">
        <x:v>0</x:v>
      </x:c>
      <x:c r="L87" s="90" t="str">
        <x:v>D</x:v>
      </x:c>
      <x:c r="M87" s="90" t="str">
        <x:v>Data Science Intern</x:v>
      </x:c>
      <x:c r="N87" s="90" t="str">
        <x:v>Data Science</x:v>
      </x:c>
      <x:c r="O87" s="90" t="str">
        <x:v>ALSAC data science, propensity modeling, DataRobot, Python/SQL and ML research form a clear progression.</x:v>
      </x:c>
      <x:c r="P87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88" ht="46" customHeight="1">
      <x:c r="A88" s="90" t="str">
        <x:v>Pfizer</x:v>
      </x:c>
      <x:c r="B88" s="98" t="n">
        <x:v>0.82</x:v>
      </x:c>
      <x:c r="C88" s="98" t="n">
        <x:v>0.8282296485040495</x:v>
      </x:c>
      <x:c r="D88" s="98" t="n">
        <x:v>0.47486432336032985</x:v>
      </x:c>
      <x:c r="E88" s="98" t="n">
        <x:v>0.545</x:v>
      </x:c>
      <x:c r="F88" s="98" t="n">
        <x:v>0.5</x:v>
      </x:c>
      <x:c r="G88" s="98" t="n">
        <x:v>0.28</x:v>
      </x:c>
      <x:c r="H88" s="98" t="n">
        <x:v>0.5</x:v>
      </x:c>
      <x:c r="I88" s="98" t="n">
        <x:v>0.76</x:v>
      </x:c>
      <x:c r="J88" s="98" t="n">
        <x:v>0.9055900621118014</x:v>
      </x:c>
      <x:c r="K88" s="90" t="n">
        <x:v>0</x:v>
      </x:c>
      <x:c r="L88" s="90" t="str">
        <x:v>D</x:v>
      </x:c>
      <x:c r="M88" s="90" t="str">
        <x:v>Data Science / Digital Intern</x:v>
      </x:c>
      <x:c r="N88" s="90" t="str">
        <x:v>Data Science</x:v>
      </x:c>
      <x:c r="O88" s="90" t="str">
        <x:v>ALSAC data science, propensity modeling, DataRobot, Python/SQL and ML research form a clear progression.</x:v>
      </x:c>
      <x:c r="P88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89" ht="46" customHeight="1">
      <x:c r="A89" s="90" t="str">
        <x:v>Epic Games</x:v>
      </x:c>
      <x:c r="B89" s="98" t="n">
        <x:v>0.62</x:v>
      </x:c>
      <x:c r="C89" s="98" t="n">
        <x:v>0.8991098432317398</x:v>
      </x:c>
      <x:c r="D89" s="98" t="n">
        <x:v>0.3273989548782653</x:v>
      </x:c>
      <x:c r="E89" s="98" t="n">
        <x:v>0.644</x:v>
      </x:c>
      <x:c r="F89" s="98" t="n">
        <x:v>0.5</x:v>
      </x:c>
      <x:c r="G89" s="98" t="n">
        <x:v>0.88</x:v>
      </x:c>
      <x:c r="H89" s="98" t="n">
        <x:v>0.5</x:v>
      </x:c>
      <x:c r="I89" s="98" t="n">
        <x:v>0.76</x:v>
      </x:c>
      <x:c r="J89" s="98" t="n">
        <x:v>0.49316770186335407</x:v>
      </x:c>
      <x:c r="K89" s="90" t="n">
        <x:v>0</x:v>
      </x:c>
      <x:c r="L89" s="90" t="str">
        <x:v>D</x:v>
      </x:c>
      <x:c r="M89" s="90" t="str">
        <x:v>Data Analyst Intern</x:v>
      </x:c>
      <x:c r="N89" s="90" t="str">
        <x:v>Data Analytics</x:v>
      </x:c>
      <x:c r="O89" s="90" t="str">
        <x:v>Three analytics internships plus SQL, Python, Tableau, forecasting and segmentation directly match the lane.</x:v>
      </x:c>
      <x:c r="P89" s="90" t="str">
        <x:v>CPT/future-sponsorship wording must be verified; No matching public role found in reviewed trackers; LinkedIn network evidence pending</x:v>
      </x:c>
    </x:row>
    <x:row r="90" ht="46" customHeight="1">
      <x:c r="A90" s="90" t="str">
        <x:v>Boston Consulting Group</x:v>
      </x:c>
      <x:c r="B90" s="98" t="n">
        <x:v>0.82</x:v>
      </x:c>
      <x:c r="C90" s="98" t="n">
        <x:v>0.8211879542769498</x:v>
      </x:c>
      <x:c r="D90" s="98" t="n">
        <x:v>0.19458636184633116</x:v>
      </x:c>
      <x:c r="E90" s="98" t="n">
        <x:v>0.635</x:v>
      </x:c>
      <x:c r="F90" s="98" t="n">
        <x:v>0.5</x:v>
      </x:c>
      <x:c r="G90" s="98" t="n">
        <x:v>0.8</x:v>
      </x:c>
      <x:c r="H90" s="98" t="n">
        <x:v>0.5</x:v>
      </x:c>
      <x:c r="I90" s="98" t="n">
        <x:v>0.6799999999999999</x:v>
      </x:c>
      <x:c r="J90" s="98" t="n">
        <x:v>0.2795031055900621</x:v>
      </x:c>
      <x:c r="K90" s="90" t="n">
        <x:v>0</x:v>
      </x:c>
      <x:c r="L90" s="90" t="str">
        <x:v>D</x:v>
      </x:c>
      <x:c r="M90" s="90" t="str">
        <x:v>Data Science Intern (BCG X)</x:v>
      </x:c>
      <x:c r="N90" s="90" t="str">
        <x:v>Analytics Consulting</x:v>
      </x:c>
      <x:c r="O90" s="90" t="str">
        <x:v>Technical analytics plus economics, research and residential leadership support client-facing analytical work.</x:v>
      </x:c>
      <x:c r="P90" s="90" t="str">
        <x:v>Exact posting still controls CPT eligibility; 3.31 GPA may sit below a preferred threshold; No matching public role found in reviewed trackers; LinkedIn network evidence pending</x:v>
      </x:c>
    </x:row>
    <x:row r="91" ht="46" customHeight="1">
      <x:c r="A91" s="90" t="str">
        <x:v>Booking Holdings / Priceline</x:v>
      </x:c>
      <x:c r="B91" s="98" t="n">
        <x:v>0.82</x:v>
      </x:c>
      <x:c r="C91" s="98" t="n">
        <x:v>0.8358222800137598</x:v>
      </x:c>
      <x:c r="D91" s="98" t="n">
        <x:v>0.4588152000917319</x:v>
      </x:c>
      <x:c r="E91" s="98" t="n">
        <x:v>0.545</x:v>
      </x:c>
      <x:c r="F91" s="98" t="n">
        <x:v>0.5</x:v>
      </x:c>
      <x:c r="G91" s="98" t="n">
        <x:v>0.55</x:v>
      </x:c>
      <x:c r="H91" s="98" t="n">
        <x:v>0.5</x:v>
      </x:c>
      <x:c r="I91" s="98" t="n">
        <x:v>0.76</x:v>
      </x:c>
      <x:c r="J91" s="98" t="n">
        <x:v>0.5677018633540373</x:v>
      </x:c>
      <x:c r="K91" s="90" t="n">
        <x:v>0</x:v>
      </x:c>
      <x:c r="L91" s="90" t="str">
        <x:v>D</x:v>
      </x:c>
      <x:c r="M91" s="90" t="str">
        <x:v>Data Science Intern</x:v>
      </x:c>
      <x:c r="N91" s="90" t="str">
        <x:v>Data Science</x:v>
      </x:c>
      <x:c r="O91" s="90" t="str">
        <x:v>ALSAC data science, propensity modeling, DataRobot, Python/SQL and ML research form a clear progression.</x:v>
      </x:c>
      <x:c r="P91" s="90" t="str">
        <x:v>Exact posting still controls CPT eligibility; Observed roles show graduate-degree skew; No matching public role found in reviewed trackers; LinkedIn network evidence pending</x:v>
      </x:c>
    </x:row>
    <x:row r="92" ht="46" customHeight="1">
      <x:c r="A92" s="90" t="str">
        <x:v>Novartis</x:v>
      </x:c>
      <x:c r="B92" s="98" t="n">
        <x:v>0.82</x:v>
      </x:c>
      <x:c r="C92" s="98" t="n">
        <x:v>0.8709499858336214</x:v>
      </x:c>
      <x:c r="D92" s="98" t="n">
        <x:v>0.7596665722241431</x:v>
      </x:c>
      <x:c r="E92" s="98" t="n">
        <x:v>0.545</x:v>
      </x:c>
      <x:c r="F92" s="98" t="n">
        <x:v>0.5</x:v>
      </x:c>
      <x:c r="G92" s="98" t="n">
        <x:v>0.28</x:v>
      </x:c>
      <x:c r="H92" s="98" t="n">
        <x:v>0.5</x:v>
      </x:c>
      <x:c r="I92" s="98" t="n">
        <x:v>0.76</x:v>
      </x:c>
      <x:c r="J92" s="98" t="n">
        <x:v>0.7614906832298136</x:v>
      </x:c>
      <x:c r="K92" s="90" t="n">
        <x:v>0</x:v>
      </x:c>
      <x:c r="L92" s="90" t="str">
        <x:v>D</x:v>
      </x:c>
      <x:c r="M92" s="90" t="str">
        <x:v>Data Science Intern</x:v>
      </x:c>
      <x:c r="N92" s="90" t="str">
        <x:v>Data Science</x:v>
      </x:c>
      <x:c r="O92" s="90" t="str">
        <x:v>ALSAC data science, propensity modeling, DataRobot, Python/SQL and ML research form a clear progression.</x:v>
      </x:c>
      <x:c r="P92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93" ht="46" customHeight="1">
      <x:c r="A93" s="90" t="str">
        <x:v>Johnson &amp; Johnson</x:v>
      </x:c>
      <x:c r="B93" s="98" t="n">
        <x:v>0.82</x:v>
      </x:c>
      <x:c r="C93" s="98" t="n">
        <x:v>0.853552881066413</x:v>
      </x:c>
      <x:c r="D93" s="98" t="n">
        <x:v>0.6436858737760865</x:v>
      </x:c>
      <x:c r="E93" s="98" t="n">
        <x:v>0.545</x:v>
      </x:c>
      <x:c r="F93" s="98" t="n">
        <x:v>0.5</x:v>
      </x:c>
      <x:c r="G93" s="98" t="n">
        <x:v>0.28</x:v>
      </x:c>
      <x:c r="H93" s="98" t="n">
        <x:v>0.5</x:v>
      </x:c>
      <x:c r="I93" s="98" t="n">
        <x:v>0.76</x:v>
      </x:c>
      <x:c r="J93" s="98" t="n">
        <x:v>0.7913043478260869</x:v>
      </x:c>
      <x:c r="K93" s="90" t="n">
        <x:v>0</x:v>
      </x:c>
      <x:c r="L93" s="90" t="str">
        <x:v>D</x:v>
      </x:c>
      <x:c r="M93" s="90" t="str">
        <x:v>Data Science Intern</x:v>
      </x:c>
      <x:c r="N93" s="90" t="str">
        <x:v>Data Science</x:v>
      </x:c>
      <x:c r="O93" s="90" t="str">
        <x:v>ALSAC data science, propensity modeling, DataRobot, Python/SQL and ML research form a clear progression.</x:v>
      </x:c>
      <x:c r="P93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94" ht="46" customHeight="1">
      <x:c r="A94" s="90" t="str">
        <x:v>Bain &amp; Company</x:v>
      </x:c>
      <x:c r="B94" s="98" t="n">
        <x:v>0.82</x:v>
      </x:c>
      <x:c r="C94" s="98" t="n">
        <x:v>0.8039604572075836</x:v>
      </x:c>
      <x:c r="D94" s="98" t="n">
        <x:v>0.07973638138388976</x:v>
      </x:c>
      <x:c r="E94" s="98" t="n">
        <x:v>0.635</x:v>
      </x:c>
      <x:c r="F94" s="98" t="n">
        <x:v>0.5</x:v>
      </x:c>
      <x:c r="G94" s="98" t="n">
        <x:v>0.8</x:v>
      </x:c>
      <x:c r="H94" s="98" t="n">
        <x:v>0.5</x:v>
      </x:c>
      <x:c r="I94" s="98" t="n">
        <x:v>0.6799999999999999</x:v>
      </x:c>
      <x:c r="J94" s="98" t="n">
        <x:v>0.2745341614906832</x:v>
      </x:c>
      <x:c r="K94" s="90" t="n">
        <x:v>0</x:v>
      </x:c>
      <x:c r="L94" s="90" t="str">
        <x:v>D</x:v>
      </x:c>
      <x:c r="M94" s="90" t="str">
        <x:v>Associate Consultant Intern / Advanced Analytics</x:v>
      </x:c>
      <x:c r="N94" s="90" t="str">
        <x:v>Analytics Consulting</x:v>
      </x:c>
      <x:c r="O94" s="90" t="str">
        <x:v>Technical analytics plus economics, research and residential leadership support client-facing analytical work.</x:v>
      </x:c>
      <x:c r="P94" s="90" t="str">
        <x:v>Exact posting still controls CPT eligibility; 3.31 GPA may sit below a preferred threshold; No matching public role found in reviewed trackers; LinkedIn network evidence pending</x:v>
      </x:c>
    </x:row>
    <x:row r="95" ht="46" customHeight="1">
      <x:c r="A95" s="90" t="str">
        <x:v>Deloitte-alternative: FTI Consulting</x:v>
      </x:c>
      <x:c r="B95" s="98" t="n">
        <x:v>0.62</x:v>
      </x:c>
      <x:c r="C95" s="98" t="n">
        <x:v>0.8604017532494055</x:v>
      </x:c>
      <x:c r="D95" s="98" t="n">
        <x:v>0.4560116883293694</x:v>
      </x:c>
      <x:c r="E95" s="98" t="n">
        <x:v>0.635</x:v>
      </x:c>
      <x:c r="F95" s="98" t="n">
        <x:v>0.5</x:v>
      </x:c>
      <x:c r="G95" s="98" t="n">
        <x:v>0.92</x:v>
      </x:c>
      <x:c r="H95" s="98" t="n">
        <x:v>0.5</x:v>
      </x:c>
      <x:c r="I95" s="98" t="n">
        <x:v>0.6799999999999999</x:v>
      </x:c>
      <x:c r="J95" s="98" t="n">
        <x:v>0.5229813664596273</x:v>
      </x:c>
      <x:c r="K95" s="90" t="n">
        <x:v>0</x:v>
      </x:c>
      <x:c r="L95" s="90" t="str">
        <x:v>D</x:v>
      </x:c>
      <x:c r="M95" s="90" t="str">
        <x:v>Data &amp; Analytics Intern</x:v>
      </x:c>
      <x:c r="N95" s="90" t="str">
        <x:v>Analytics Consulting</x:v>
      </x:c>
      <x:c r="O95" s="90" t="str">
        <x:v>Technical analytics plus economics, research and residential leadership support client-facing analytical work.</x:v>
      </x:c>
      <x:c r="P95" s="90" t="str">
        <x:v>CPT/future-sponsorship wording must be verified; 3.31 GPA may sit below a preferred threshold; No matching public role found in reviewed trackers; LinkedIn network evidence pending</x:v>
      </x:c>
    </x:row>
    <x:row r="96" ht="46" customHeight="1">
      <x:c r="A96" s="90" t="str">
        <x:v>UBS</x:v>
      </x:c>
      <x:c r="B96" s="98" t="n">
        <x:v>0.82</x:v>
      </x:c>
      <x:c r="C96" s="98" t="n">
        <x:v>0.7881153198311313</x:v>
      </x:c>
      <x:c r="D96" s="98" t="n">
        <x:v>0.26743546554087455</x:v>
      </x:c>
      <x:c r="E96" s="98" t="n">
        <x:v>0.635</x:v>
      </x:c>
      <x:c r="F96" s="98" t="n">
        <x:v>0.5</x:v>
      </x:c>
      <x:c r="G96" s="98" t="n">
        <x:v>0.76</x:v>
      </x:c>
      <x:c r="H96" s="98" t="n">
        <x:v>0.5</x:v>
      </x:c>
      <x:c r="I96" s="98" t="n">
        <x:v>0.64</x:v>
      </x:c>
      <x:c r="J96" s="98" t="n">
        <x:v>0.3341614906832298</x:v>
      </x:c>
      <x:c r="K96" s="90" t="n">
        <x:v>0</x:v>
      </x:c>
      <x:c r="L96" s="90" t="str">
        <x:v>D</x:v>
      </x:c>
      <x:c r="M96" s="90" t="str">
        <x:v>Data / Quant Summer Analyst</x:v>
      </x:c>
      <x:c r="N96" s="90" t="str">
        <x:v>Business/Strategy Analytics</x:v>
      </x:c>
      <x:c r="O96" s="90" t="str">
        <x:v>Economics, consumer analytics and Student Leader communication support analytical business decisions.</x:v>
      </x:c>
      <x:c r="P96" s="90" t="str">
        <x:v>Exact posting still controls CPT eligibility; 3.31 GPA may sit below a preferred threshold; No matching public role found in reviewed trackers; LinkedIn network evidence pending</x:v>
      </x:c>
    </x:row>
    <x:row r="97" ht="46" customHeight="1">
      <x:c r="A97" s="90" t="str">
        <x:v>EY</x:v>
      </x:c>
      <x:c r="B97" s="98" t="n">
        <x:v>0.7</x:v>
      </x:c>
      <x:c r="C97" s="98" t="n">
        <x:v>0.8598413382796377</x:v>
      </x:c>
      <x:c r="D97" s="98" t="n">
        <x:v>0.4522755885309176</x:v>
      </x:c>
      <x:c r="E97" s="98" t="n">
        <x:v>0.635</x:v>
      </x:c>
      <x:c r="F97" s="98" t="n">
        <x:v>0.5</x:v>
      </x:c>
      <x:c r="G97" s="98" t="n">
        <x:v>0.8</x:v>
      </x:c>
      <x:c r="H97" s="98" t="n">
        <x:v>0.5</x:v>
      </x:c>
      <x:c r="I97" s="98" t="n">
        <x:v>0.6799999999999999</x:v>
      </x:c>
      <x:c r="J97" s="98" t="n">
        <x:v>0.3937888198757764</x:v>
      </x:c>
      <x:c r="K97" s="90" t="n">
        <x:v>0</x:v>
      </x:c>
      <x:c r="L97" s="90" t="str">
        <x:v>D</x:v>
      </x:c>
      <x:c r="M97" s="90" t="str">
        <x:v>Data &amp; Analytics Intern</x:v>
      </x:c>
      <x:c r="N97" s="90" t="str">
        <x:v>Analytics Consulting</x:v>
      </x:c>
      <x:c r="O97" s="90" t="str">
        <x:v>Technical analytics plus economics, research and residential leadership support client-facing analytical work.</x:v>
      </x:c>
      <x:c r="P97" s="90" t="str">
        <x:v>CPT/future-sponsorship wording must be verified; 3.31 GPA may sit below a preferred threshold; No matching public role found in reviewed trackers; LinkedIn network evidence pending</x:v>
      </x:c>
    </x:row>
    <x:row r="98" ht="46" customHeight="1">
      <x:c r="A98" s="90" t="str">
        <x:v>Nomura</x:v>
      </x:c>
      <x:c r="B98" s="98" t="n">
        <x:v>0.82</x:v>
      </x:c>
      <x:c r="C98" s="98" t="n">
        <x:v>0.7864283456515395</x:v>
      </x:c>
      <x:c r="D98" s="98" t="n">
        <x:v>0.25618897101026267</x:v>
      </x:c>
      <x:c r="E98" s="98" t="n">
        <x:v>0.635</x:v>
      </x:c>
      <x:c r="F98" s="98" t="n">
        <x:v>0.5</x:v>
      </x:c>
      <x:c r="G98" s="98" t="n">
        <x:v>0.76</x:v>
      </x:c>
      <x:c r="H98" s="98" t="n">
        <x:v>0.5</x:v>
      </x:c>
      <x:c r="I98" s="98" t="n">
        <x:v>0.64</x:v>
      </x:c>
      <x:c r="J98" s="98" t="n">
        <x:v>0.31925465838509315</x:v>
      </x:c>
      <x:c r="K98" s="90" t="n">
        <x:v>0</x:v>
      </x:c>
      <x:c r="L98" s="90" t="str">
        <x:v>D</x:v>
      </x:c>
      <x:c r="M98" s="90" t="str">
        <x:v>Quant / Data Summer Analyst</x:v>
      </x:c>
      <x:c r="N98" s="90" t="str">
        <x:v>Business/Strategy Analytics</x:v>
      </x:c>
      <x:c r="O98" s="90" t="str">
        <x:v>Economics, consumer analytics and Student Leader communication support analytical business decisions.</x:v>
      </x:c>
      <x:c r="P98" s="90" t="str">
        <x:v>Exact posting still controls CPT eligibility; 3.31 GPA may sit below a preferred threshold; No matching public role found in reviewed trackers; LinkedIn network evidence pending</x:v>
      </x:c>
    </x:row>
    <x:row r="99" ht="46" customHeight="1">
      <x:c r="A99" s="90" t="str">
        <x:v>Chewy</x:v>
      </x:c>
      <x:c r="B99" s="98" t="n">
        <x:v>0.62</x:v>
      </x:c>
      <x:c r="C99" s="98" t="n">
        <x:v>0.8667079075710682</x:v>
      </x:c>
      <x:c r="D99" s="98" t="n">
        <x:v>0.7647193838071218</x:v>
      </x:c>
      <x:c r="E99" s="98" t="n">
        <x:v>0.545</x:v>
      </x:c>
      <x:c r="F99" s="98" t="n">
        <x:v>0.5</x:v>
      </x:c>
      <x:c r="G99" s="98" t="n">
        <x:v>0.88</x:v>
      </x:c>
      <x:c r="H99" s="98" t="n">
        <x:v>0.5</x:v>
      </x:c>
      <x:c r="I99" s="98" t="n">
        <x:v>0.76</x:v>
      </x:c>
      <x:c r="J99" s="98" t="n">
        <x:v>0.577639751552795</x:v>
      </x:c>
      <x:c r="K99" s="90" t="n">
        <x:v>0</x:v>
      </x:c>
      <x:c r="L99" s="90" t="str">
        <x:v>D</x:v>
      </x:c>
      <x:c r="M99" s="90" t="str">
        <x:v>Data Science Intern</x:v>
      </x:c>
      <x:c r="N99" s="90" t="str">
        <x:v>Data Science</x:v>
      </x:c>
      <x:c r="O99" s="90" t="str">
        <x:v>ALSAC data science, propensity modeling, DataRobot, Python/SQL and ML research form a clear progression.</x:v>
      </x:c>
      <x:c r="P99" s="90" t="str">
        <x:v>CPT/future-sponsorship wording must be verified; Observed roles show graduate-degree skew; No matching public role found in reviewed trackers; LinkedIn network evidence pending</x:v>
      </x:c>
    </x:row>
    <x:row r="100" ht="46" customHeight="1">
      <x:c r="A100" s="90" t="str">
        <x:v>Etsy</x:v>
      </x:c>
      <x:c r="B100" s="98" t="n">
        <x:v>0.62</x:v>
      </x:c>
      <x:c r="C100" s="98" t="n">
        <x:v>0.8667079075710682</x:v>
      </x:c>
      <x:c r="D100" s="98" t="n">
        <x:v>0.7647193838071218</x:v>
      </x:c>
      <x:c r="E100" s="98" t="n">
        <x:v>0.545</x:v>
      </x:c>
      <x:c r="F100" s="98" t="n">
        <x:v>0.5</x:v>
      </x:c>
      <x:c r="G100" s="98" t="n">
        <x:v>0.88</x:v>
      </x:c>
      <x:c r="H100" s="98" t="n">
        <x:v>0.5</x:v>
      </x:c>
      <x:c r="I100" s="98" t="n">
        <x:v>0.76</x:v>
      </x:c>
      <x:c r="J100" s="98" t="n">
        <x:v>0.5826086956521739</x:v>
      </x:c>
      <x:c r="K100" s="90" t="n">
        <x:v>0</x:v>
      </x:c>
      <x:c r="L100" s="90" t="str">
        <x:v>D</x:v>
      </x:c>
      <x:c r="M100" s="90" t="str">
        <x:v>Data Science Intern</x:v>
      </x:c>
      <x:c r="N100" s="90" t="str">
        <x:v>Data Science</x:v>
      </x:c>
      <x:c r="O100" s="90" t="str">
        <x:v>ALSAC data science, propensity modeling, DataRobot, Python/SQL and ML research form a clear progression.</x:v>
      </x:c>
      <x:c r="P100" s="90" t="str">
        <x:v>CPT/future-sponsorship wording must be verified; Observed roles show graduate-degree skew; No matching public role found in reviewed trackers; LinkedIn network evidence pending</x:v>
      </x:c>
    </x:row>
    <x:row r="101" ht="46" customHeight="1">
      <x:c r="A101" s="90" t="str">
        <x:v>Citi</x:v>
      </x:c>
      <x:c r="B101" s="98" t="n">
        <x:v>0.82</x:v>
      </x:c>
      <x:c r="C101" s="98" t="n">
        <x:v>0.8160184065741429</x:v>
      </x:c>
      <x:c r="D101" s="98" t="n">
        <x:v>0.42678937716095255</x:v>
      </x:c>
      <x:c r="E101" s="98" t="n">
        <x:v>0.53375</x:v>
      </x:c>
      <x:c r="F101" s="98" t="n">
        <x:v>0.5</x:v>
      </x:c>
      <x:c r="G101" s="98" t="n">
        <x:v>0.76</x:v>
      </x:c>
      <x:c r="H101" s="98" t="n">
        <x:v>0.5</x:v>
      </x:c>
      <x:c r="I101" s="98" t="n">
        <x:v>0.64</x:v>
      </x:c>
      <x:c r="J101" s="98" t="n">
        <x:v>0.3440993788819876</x:v>
      </x:c>
      <x:c r="K101" s="90" t="n">
        <x:v>1</x:v>
      </x:c>
      <x:c r="L101" s="90" t="str">
        <x:v>C</x:v>
      </x:c>
      <x:c r="M101" s="90" t="str">
        <x:v>Data Science / Technology Summer Analyst</x:v>
      </x:c>
      <x:c r="N101" s="90" t="str">
        <x:v>Data Science</x:v>
      </x:c>
      <x:c r="O101" s="90" t="str">
        <x:v>ALSAC data science, propensity modeling, DataRobot, Python/SQL and ML research form a clear progression.</x:v>
      </x:c>
      <x:c r="P101" s="90" t="str">
        <x:v>Exact posting still controls CPT eligibility; 3.31 GPA may sit below a preferred threshold; Observed roles show graduate-degree skew; LinkedIn network evidence pending</x:v>
      </x:c>
    </x:row>
    <x:row r="102" ht="46" customHeight="1">
      <x:c r="A102" s="90" t="str">
        <x:v>Brinker International (Chili's)</x:v>
      </x:c>
      <x:c r="B102" s="98" t="n">
        <x:v>0.62</x:v>
      </x:c>
      <x:c r="C102" s="98" t="n">
        <x:v>0.9367192584188541</x:v>
      </x:c>
      <x:c r="D102" s="98" t="n">
        <x:v>0.5781283894590271</x:v>
      </x:c>
      <x:c r="E102" s="98" t="n">
        <x:v>0.644</x:v>
      </x:c>
      <x:c r="F102" s="98" t="n">
        <x:v>0.5</x:v>
      </x:c>
      <x:c r="G102" s="98" t="n">
        <x:v>0.28</x:v>
      </x:c>
      <x:c r="H102" s="98" t="n">
        <x:v>0.5</x:v>
      </x:c>
      <x:c r="I102" s="98" t="n">
        <x:v>0.76</x:v>
      </x:c>
      <x:c r="J102" s="98" t="n">
        <x:v>0.9453416149068323</x:v>
      </x:c>
      <x:c r="K102" s="90" t="n">
        <x:v>0</x:v>
      </x:c>
      <x:c r="L102" s="90" t="str">
        <x:v>D</x:v>
      </x:c>
      <x:c r="M102" s="90" t="str">
        <x:v>Data &amp; Analytics Intern</x:v>
      </x:c>
      <x:c r="N102" s="90" t="str">
        <x:v>Data Analytics</x:v>
      </x:c>
      <x:c r="O102" s="90" t="str">
        <x:v>Three analytics internships plus SQL, Python, Tableau, forecasting and segmentation directly match the lane.</x:v>
      </x:c>
      <x:c r="P102" s="90" t="str">
        <x:v>CPT/future-sponsorship wording must be verified; Low personal industry preference; No matching public role found in reviewed trackers; LinkedIn network evidence pending</x:v>
      </x:c>
    </x:row>
    <x:row r="103" ht="46" customHeight="1">
      <x:c r="A103" s="90" t="str">
        <x:v>Scale AI</x:v>
      </x:c>
      <x:c r="B103" s="98" t="n">
        <x:v>0.62</x:v>
      </x:c>
      <x:c r="C103" s="98" t="n">
        <x:v>0.8853645168220068</x:v>
      </x:c>
      <x:c r="D103" s="98" t="n">
        <x:v>0.8890967788133788</x:v>
      </x:c>
      <x:c r="E103" s="98" t="n">
        <x:v>0.545</x:v>
      </x:c>
      <x:c r="F103" s="98" t="n">
        <x:v>0.5</x:v>
      </x:c>
      <x:c r="G103" s="98" t="n">
        <x:v>0.92</x:v>
      </x:c>
      <x:c r="H103" s="98" t="n">
        <x:v>0.5</x:v>
      </x:c>
      <x:c r="I103" s="98" t="n">
        <x:v>0.76</x:v>
      </x:c>
      <x:c r="J103" s="98" t="n">
        <x:v>0.4732919254658385</x:v>
      </x:c>
      <x:c r="K103" s="90" t="n">
        <x:v>0</x:v>
      </x:c>
      <x:c r="L103" s="90" t="str">
        <x:v>D</x:v>
      </x:c>
      <x:c r="M103" s="90" t="str">
        <x:v>Data Science / Analytics Intern</x:v>
      </x:c>
      <x:c r="N103" s="90" t="str">
        <x:v>Data Science</x:v>
      </x:c>
      <x:c r="O103" s="90" t="str">
        <x:v>ALSAC data science, propensity modeling, DataRobot, Python/SQL and ML research form a clear progression.</x:v>
      </x:c>
      <x:c r="P103" s="90" t="str">
        <x:v>CPT/future-sponsorship wording must be verified; Observed roles show graduate-degree skew; No matching public role found in reviewed trackers; LinkedIn network evidence pending</x:v>
      </x:c>
    </x:row>
    <x:row r="104" ht="46" customHeight="1">
      <x:c r="A104" s="90" t="str">
        <x:v>Walmart Global Tech</x:v>
      </x:c>
      <x:c r="B104" s="98" t="n">
        <x:v>0.82</x:v>
      </x:c>
      <x:c r="C104" s="98" t="n">
        <x:v>0.8035820966203825</x:v>
      </x:c>
      <x:c r="D104" s="98" t="n">
        <x:v>0.3438806441358832</x:v>
      </x:c>
      <x:c r="E104" s="98" t="n">
        <x:v>0.4665939351170145</x:v>
      </x:c>
      <x:c r="F104" s="98" t="n">
        <x:v>0.05</x:v>
      </x:c>
      <x:c r="G104" s="98" t="n">
        <x:v>0.28</x:v>
      </x:c>
      <x:c r="H104" s="98" t="n">
        <x:v>0.5</x:v>
      </x:c>
      <x:c r="I104" s="98" t="n">
        <x:v>0.76</x:v>
      </x:c>
      <x:c r="J104" s="98" t="n">
        <x:v>0.9254658385093167</x:v>
      </x:c>
      <x:c r="K104" s="90" t="n">
        <x:v>1</x:v>
      </x:c>
      <x:c r="L104" s="90" t="str">
        <x:v>C</x:v>
      </x:c>
      <x:c r="M104" s="90" t="str">
        <x:v>Data Science Intern</x:v>
      </x:c>
      <x:c r="N104" s="90" t="str">
        <x:v>Data Science</x:v>
      </x:c>
      <x:c r="O104" s="90" t="str">
        <x:v>ALSAC data science, propensity modeling, DataRobot, Python/SQL and ML research form a clear progression.</x:v>
      </x:c>
      <x:c r="P104" s="90" t="str">
        <x:v>Exact posting still controls CPT eligibility; Observed roles show graduate-degree skew; Low personal industry preference; LinkedIn network evidence pending</x:v>
      </x:c>
    </x:row>
    <x:row r="105" ht="46" customHeight="1">
      <x:c r="A105" s="90" t="str">
        <x:v>AutoZone</x:v>
      </x:c>
      <x:c r="B105" s="98" t="n">
        <x:v>0.62</x:v>
      </x:c>
      <x:c r="C105" s="98" t="n">
        <x:v>0.9143413921888797</x:v>
      </x:c>
      <x:c r="D105" s="98" t="n">
        <x:v>0.428942614592531</x:v>
      </x:c>
      <x:c r="E105" s="98" t="n">
        <x:v>0.644</x:v>
      </x:c>
      <x:c r="F105" s="98" t="n">
        <x:v>0.5</x:v>
      </x:c>
      <x:c r="G105" s="98" t="n">
        <x:v>0.28</x:v>
      </x:c>
      <x:c r="H105" s="98" t="n">
        <x:v>0.5</x:v>
      </x:c>
      <x:c r="I105" s="98" t="n">
        <x:v>0.76</x:v>
      </x:c>
      <x:c r="J105" s="98" t="n">
        <x:v>0.9403726708074535</x:v>
      </x:c>
      <x:c r="K105" s="90" t="n">
        <x:v>0</x:v>
      </x:c>
      <x:c r="L105" s="90" t="str">
        <x:v>D</x:v>
      </x:c>
      <x:c r="M105" s="90" t="str">
        <x:v>Data Analytics Intern</x:v>
      </x:c>
      <x:c r="N105" s="90" t="str">
        <x:v>Data Analytics</x:v>
      </x:c>
      <x:c r="O105" s="90" t="str">
        <x:v>Three analytics internships plus SQL, Python, Tableau, forecasting and segmentation directly match the lane.</x:v>
      </x:c>
      <x:c r="P105" s="90" t="str">
        <x:v>CPT/future-sponsorship wording must be verified; Low personal industry preference; No matching public role found in reviewed trackers; LinkedIn network evidence pending</x:v>
      </x:c>
    </x:row>
    <x:row r="106" ht="46" customHeight="1">
      <x:c r="A106" s="90" t="str">
        <x:v>Barclays</x:v>
      </x:c>
      <x:c r="B106" s="98" t="n">
        <x:v>0.82</x:v>
      </x:c>
      <x:c r="C106" s="98" t="n">
        <x:v>0.7998113055423648</x:v>
      </x:c>
      <x:c r="D106" s="98" t="n">
        <x:v>0.3187420369490986</x:v>
      </x:c>
      <x:c r="E106" s="98" t="n">
        <x:v>0.545</x:v>
      </x:c>
      <x:c r="F106" s="98" t="n">
        <x:v>0.5</x:v>
      </x:c>
      <x:c r="G106" s="98" t="n">
        <x:v>0.76</x:v>
      </x:c>
      <x:c r="H106" s="98" t="n">
        <x:v>0.5</x:v>
      </x:c>
      <x:c r="I106" s="98" t="n">
        <x:v>0.64</x:v>
      </x:c>
      <x:c r="J106" s="98" t="n">
        <x:v>0.3391304347826087</x:v>
      </x:c>
      <x:c r="K106" s="90" t="n">
        <x:v>0</x:v>
      </x:c>
      <x:c r="L106" s="90" t="str">
        <x:v>D</x:v>
      </x:c>
      <x:c r="M106" s="90" t="str">
        <x:v>Data Science / Tech Summer Analyst</x:v>
      </x:c>
      <x:c r="N106" s="90" t="str">
        <x:v>Data Science</x:v>
      </x:c>
      <x:c r="O106" s="90" t="str">
        <x:v>ALSAC data science, propensity modeling, DataRobot, Python/SQL and ML research form a clear progression.</x:v>
      </x:c>
      <x:c r="P106" s="90" t="str">
        <x:v>Exact posting still controls CPT eligibility; 3.31 GPA may sit below a preferred threshold; Observed roles show graduate-degree skew; No matching public role found in reviewed trackers; LinkedIn network evidence pending</x:v>
      </x:c>
    </x:row>
    <x:row r="107" ht="46" customHeight="1">
      <x:c r="A107" s="90" t="str">
        <x:v>Morgan Stanley</x:v>
      </x:c>
      <x:c r="B107" s="98" t="n">
        <x:v>0.82</x:v>
      </x:c>
      <x:c r="C107" s="98" t="n">
        <x:v>0.7811077088810062</x:v>
      </x:c>
      <x:c r="D107" s="98" t="n">
        <x:v>0.2207180592067079</x:v>
      </x:c>
      <x:c r="E107" s="98" t="n">
        <x:v>0.635</x:v>
      </x:c>
      <x:c r="F107" s="98" t="n">
        <x:v>0.5</x:v>
      </x:c>
      <x:c r="G107" s="98" t="n">
        <x:v>0.76</x:v>
      </x:c>
      <x:c r="H107" s="98" t="n">
        <x:v>0.5</x:v>
      </x:c>
      <x:c r="I107" s="98" t="n">
        <x:v>0.64</x:v>
      </x:c>
      <x:c r="J107" s="98" t="n">
        <x:v>0.25465838509316774</x:v>
      </x:c>
      <x:c r="K107" s="90" t="n">
        <x:v>0</x:v>
      </x:c>
      <x:c r="L107" s="90" t="str">
        <x:v>D</x:v>
      </x:c>
      <x:c r="M107" s="90" t="str">
        <x:v>Technology / Quant Summer Analyst</x:v>
      </x:c>
      <x:c r="N107" s="90" t="str">
        <x:v>Business/Strategy Analytics</x:v>
      </x:c>
      <x:c r="O107" s="90" t="str">
        <x:v>Economics, consumer analytics and Student Leader communication support analytical business decisions.</x:v>
      </x:c>
      <x:c r="P107" s="90" t="str">
        <x:v>Exact posting still controls CPT eligibility; 3.31 GPA may sit below a preferred threshold; No matching public role found in reviewed trackers; LinkedIn network evidence pending</x:v>
      </x:c>
    </x:row>
    <x:row r="108" ht="46" customHeight="1">
      <x:c r="A108" s="90" t="str">
        <x:v>Dell Technologies</x:v>
      </x:c>
      <x:c r="B108" s="98" t="n">
        <x:v>0.62</x:v>
      </x:c>
      <x:c r="C108" s="98" t="n">
        <x:v>0.8667079075710682</x:v>
      </x:c>
      <x:c r="D108" s="98" t="n">
        <x:v>0.7647193838071218</x:v>
      </x:c>
      <x:c r="E108" s="98" t="n">
        <x:v>0.545</x:v>
      </x:c>
      <x:c r="F108" s="98" t="n">
        <x:v>0.5</x:v>
      </x:c>
      <x:c r="G108" s="98" t="n">
        <x:v>0.88</x:v>
      </x:c>
      <x:c r="H108" s="98" t="n">
        <x:v>0.5</x:v>
      </x:c>
      <x:c r="I108" s="98" t="n">
        <x:v>0.76</x:v>
      </x:c>
      <x:c r="J108" s="98" t="n">
        <x:v>0.5180124223602485</x:v>
      </x:c>
      <x:c r="K108" s="90" t="n">
        <x:v>0</x:v>
      </x:c>
      <x:c r="L108" s="90" t="str">
        <x:v>D</x:v>
      </x:c>
      <x:c r="M108" s="90" t="str">
        <x:v>Data Science Intern</x:v>
      </x:c>
      <x:c r="N108" s="90" t="str">
        <x:v>Data Science</x:v>
      </x:c>
      <x:c r="O108" s="90" t="str">
        <x:v>ALSAC data science, propensity modeling, DataRobot, Python/SQL and ML research form a clear progression.</x:v>
      </x:c>
      <x:c r="P108" s="90" t="str">
        <x:v>CPT/future-sponsorship wording must be verified; Observed roles show graduate-degree skew; No matching public role found in reviewed trackers; LinkedIn network evidence pending</x:v>
      </x:c>
    </x:row>
    <x:row r="109" ht="46" customHeight="1">
      <x:c r="A109" s="90" t="str">
        <x:v>HP</x:v>
      </x:c>
      <x:c r="B109" s="98" t="n">
        <x:v>0.62</x:v>
      </x:c>
      <x:c r="C109" s="98" t="n">
        <x:v>0.8667079075710682</x:v>
      </x:c>
      <x:c r="D109" s="98" t="n">
        <x:v>0.7647193838071218</x:v>
      </x:c>
      <x:c r="E109" s="98" t="n">
        <x:v>0.545</x:v>
      </x:c>
      <x:c r="F109" s="98" t="n">
        <x:v>0.5</x:v>
      </x:c>
      <x:c r="G109" s="98" t="n">
        <x:v>0.88</x:v>
      </x:c>
      <x:c r="H109" s="98" t="n">
        <x:v>0.5</x:v>
      </x:c>
      <x:c r="I109" s="98" t="n">
        <x:v>0.76</x:v>
      </x:c>
      <x:c r="J109" s="98" t="n">
        <x:v>0.5130434782608695</x:v>
      </x:c>
      <x:c r="K109" s="90" t="n">
        <x:v>0</x:v>
      </x:c>
      <x:c r="L109" s="90" t="str">
        <x:v>D</x:v>
      </x:c>
      <x:c r="M109" s="90" t="str">
        <x:v>Data Science Intern</x:v>
      </x:c>
      <x:c r="N109" s="90" t="str">
        <x:v>Data Science</x:v>
      </x:c>
      <x:c r="O109" s="90" t="str">
        <x:v>ALSAC data science, propensity modeling, DataRobot, Python/SQL and ML research form a clear progression.</x:v>
      </x:c>
      <x:c r="P109" s="90" t="str">
        <x:v>CPT/future-sponsorship wording must be verified; Observed roles show graduate-degree skew; No matching public role found in reviewed trackers; LinkedIn network evidence pending</x:v>
      </x:c>
    </x:row>
    <x:row r="110" ht="46" customHeight="1">
      <x:c r="A110" s="90" t="str">
        <x:v>Shopify</x:v>
      </x:c>
      <x:c r="B110" s="98" t="n">
        <x:v>0.62</x:v>
      </x:c>
      <x:c r="C110" s="98" t="n">
        <x:v>0.8667079075710682</x:v>
      </x:c>
      <x:c r="D110" s="98" t="n">
        <x:v>0.7647193838071218</x:v>
      </x:c>
      <x:c r="E110" s="98" t="n">
        <x:v>0.545</x:v>
      </x:c>
      <x:c r="F110" s="98" t="n">
        <x:v>0.5</x:v>
      </x:c>
      <x:c r="G110" s="98" t="n">
        <x:v>0.88</x:v>
      </x:c>
      <x:c r="H110" s="98" t="n">
        <x:v>0.5</x:v>
      </x:c>
      <x:c r="I110" s="98" t="n">
        <x:v>0.76</x:v>
      </x:c>
      <x:c r="J110" s="98" t="n">
        <x:v>0.5080745341614906</x:v>
      </x:c>
      <x:c r="K110" s="90" t="n">
        <x:v>0</x:v>
      </x:c>
      <x:c r="L110" s="90" t="str">
        <x:v>D</x:v>
      </x:c>
      <x:c r="M110" s="90" t="str">
        <x:v>Data Science Intern</x:v>
      </x:c>
      <x:c r="N110" s="90" t="str">
        <x:v>Data Science</x:v>
      </x:c>
      <x:c r="O110" s="90" t="str">
        <x:v>ALSAC data science, propensity modeling, DataRobot, Python/SQL and ML research form a clear progression.</x:v>
      </x:c>
      <x:c r="P110" s="90" t="str">
        <x:v>CPT/future-sponsorship wording must be verified; Observed roles show graduate-degree skew; No matching public role found in reviewed trackers; LinkedIn network evidence pending</x:v>
      </x:c>
    </x:row>
    <x:row r="111" ht="46" customHeight="1">
      <x:c r="A111" s="90" t="str">
        <x:v>Tesla</x:v>
      </x:c>
      <x:c r="B111" s="98" t="n">
        <x:v>0.82</x:v>
      </x:c>
      <x:c r="C111" s="98" t="n">
        <x:v>0.8403995265515112</x:v>
      </x:c>
      <x:c r="D111" s="98" t="n">
        <x:v>0.5893301770100746</x:v>
      </x:c>
      <x:c r="E111" s="98" t="n">
        <x:v>0.545</x:v>
      </x:c>
      <x:c r="F111" s="98" t="n">
        <x:v>0.5</x:v>
      </x:c>
      <x:c r="G111" s="98" t="n">
        <x:v>0.28</x:v>
      </x:c>
      <x:c r="H111" s="98" t="n">
        <x:v>0.5</x:v>
      </x:c>
      <x:c r="I111" s="98" t="n">
        <x:v>0.76</x:v>
      </x:c>
      <x:c r="J111" s="98" t="n">
        <x:v>0.6372670807453416</x:v>
      </x:c>
      <x:c r="K111" s="90" t="n">
        <x:v>0</x:v>
      </x:c>
      <x:c r="L111" s="90" t="str">
        <x:v>D</x:v>
      </x:c>
      <x:c r="M111" s="90" t="str">
        <x:v>Data Science / Analytics Intern</x:v>
      </x:c>
      <x:c r="N111" s="90" t="str">
        <x:v>Data Science</x:v>
      </x:c>
      <x:c r="O111" s="90" t="str">
        <x:v>ALSAC data science, propensity modeling, DataRobot, Python/SQL and ML research form a clear progression.</x:v>
      </x:c>
      <x:c r="P111" s="90" t="str">
        <x:v>Exact posting still controls CPT eligibility; Observed roles show graduate-degree skew; Low personal industry preference; No matching public role found in reviewed trackers; LinkedIn network evidence pending</x:v>
      </x:c>
    </x:row>
    <x:row r="112" ht="46" customHeight="1">
      <x:c r="A112" s="90" t="str">
        <x:v>Electronic Arts</x:v>
      </x:c>
      <x:c r="B112" s="98" t="n">
        <x:v>0.62</x:v>
      </x:c>
      <x:c r="C112" s="98" t="n">
        <x:v>0.8667079075710682</x:v>
      </x:c>
      <x:c r="D112" s="98" t="n">
        <x:v>0.7647193838071218</x:v>
      </x:c>
      <x:c r="E112" s="98" t="n">
        <x:v>0.545</x:v>
      </x:c>
      <x:c r="F112" s="98" t="n">
        <x:v>0.5</x:v>
      </x:c>
      <x:c r="G112" s="98" t="n">
        <x:v>0.88</x:v>
      </x:c>
      <x:c r="H112" s="98" t="n">
        <x:v>0.5</x:v>
      </x:c>
      <x:c r="I112" s="98" t="n">
        <x:v>0.76</x:v>
      </x:c>
      <x:c r="J112" s="98" t="n">
        <x:v>0.49813664596273294</x:v>
      </x:c>
      <x:c r="K112" s="90" t="n">
        <x:v>0</x:v>
      </x:c>
      <x:c r="L112" s="90" t="str">
        <x:v>D</x:v>
      </x:c>
      <x:c r="M112" s="90" t="str">
        <x:v>Data Science Intern</x:v>
      </x:c>
      <x:c r="N112" s="90" t="str">
        <x:v>Data Science</x:v>
      </x:c>
      <x:c r="O112" s="90" t="str">
        <x:v>ALSAC data science, propensity modeling, DataRobot, Python/SQL and ML research form a clear progression.</x:v>
      </x:c>
      <x:c r="P112" s="90" t="str">
        <x:v>CPT/future-sponsorship wording must be verified; Observed roles show graduate-degree skew; No matching public role found in reviewed trackers; LinkedIn network evidence pending</x:v>
      </x:c>
    </x:row>
    <x:row r="113" ht="46" customHeight="1">
      <x:c r="A113" s="90" t="str">
        <x:v>PepsiCo</x:v>
      </x:c>
      <x:c r="B113" s="98" t="n">
        <x:v>0.62</x:v>
      </x:c>
      <x:c r="C113" s="98" t="n">
        <x:v>0.9367192584188541</x:v>
      </x:c>
      <x:c r="D113" s="98" t="n">
        <x:v>0.5781283894590271</x:v>
      </x:c>
      <x:c r="E113" s="98" t="n">
        <x:v>0.644</x:v>
      </x:c>
      <x:c r="F113" s="98" t="n">
        <x:v>0.5</x:v>
      </x:c>
      <x:c r="G113" s="98" t="n">
        <x:v>0.28</x:v>
      </x:c>
      <x:c r="H113" s="98" t="n">
        <x:v>0.5</x:v>
      </x:c>
      <x:c r="I113" s="98" t="n">
        <x:v>0.76</x:v>
      </x:c>
      <x:c r="J113" s="98" t="n">
        <x:v>0.8409937888198759</x:v>
      </x:c>
      <x:c r="K113" s="90" t="n">
        <x:v>0</x:v>
      </x:c>
      <x:c r="L113" s="90" t="str">
        <x:v>D</x:v>
      </x:c>
      <x:c r="M113" s="90" t="str">
        <x:v>Data Analytics Intern</x:v>
      </x:c>
      <x:c r="N113" s="90" t="str">
        <x:v>Data Analytics</x:v>
      </x:c>
      <x:c r="O113" s="90" t="str">
        <x:v>Three analytics internships plus SQL, Python, Tableau, forecasting and segmentation directly match the lane.</x:v>
      </x:c>
      <x:c r="P113" s="90" t="str">
        <x:v>CPT/future-sponsorship wording must be verified; Low personal industry preference; No matching public role found in reviewed trackers; LinkedIn network evidence pending</x:v>
      </x:c>
    </x:row>
    <x:row r="114" ht="46" customHeight="1">
      <x:c r="A114" s="90" t="str">
        <x:v>Estée Lauder</x:v>
      </x:c>
      <x:c r="B114" s="98" t="n">
        <x:v>0.62</x:v>
      </x:c>
      <x:c r="C114" s="98" t="n">
        <x:v>0.9367192584188541</x:v>
      </x:c>
      <x:c r="D114" s="98" t="n">
        <x:v>0.5781283894590271</x:v>
      </x:c>
      <x:c r="E114" s="98" t="n">
        <x:v>0.644</x:v>
      </x:c>
      <x:c r="F114" s="98" t="n">
        <x:v>0.5</x:v>
      </x:c>
      <x:c r="G114" s="98" t="n">
        <x:v>0.28</x:v>
      </x:c>
      <x:c r="H114" s="98" t="n">
        <x:v>0.5</x:v>
      </x:c>
      <x:c r="I114" s="98" t="n">
        <x:v>0.76</x:v>
      </x:c>
      <x:c r="J114" s="98" t="n">
        <x:v>0.8211180124223603</x:v>
      </x:c>
      <x:c r="K114" s="90" t="n">
        <x:v>0</x:v>
      </x:c>
      <x:c r="L114" s="90" t="str">
        <x:v>D</x:v>
      </x:c>
      <x:c r="M114" s="90" t="str">
        <x:v>Data Analytics Intern</x:v>
      </x:c>
      <x:c r="N114" s="90" t="str">
        <x:v>Data Analytics</x:v>
      </x:c>
      <x:c r="O114" s="90" t="str">
        <x:v>Three analytics internships plus SQL, Python, Tableau, forecasting and segmentation directly match the lane.</x:v>
      </x:c>
      <x:c r="P114" s="90" t="str">
        <x:v>CPT/future-sponsorship wording must be verified; Low personal industry preference; No matching public role found in reviewed trackers; LinkedIn network evidence pending</x:v>
      </x:c>
    </x:row>
    <x:row r="115" ht="46" customHeight="1">
      <x:c r="A115" s="90" t="str">
        <x:v>L'Oréal</x:v>
      </x:c>
      <x:c r="B115" s="98" t="n">
        <x:v>0.62</x:v>
      </x:c>
      <x:c r="C115" s="98" t="n">
        <x:v>0.9367192584188541</x:v>
      </x:c>
      <x:c r="D115" s="98" t="n">
        <x:v>0.5781283894590271</x:v>
      </x:c>
      <x:c r="E115" s="98" t="n">
        <x:v>0.644</x:v>
      </x:c>
      <x:c r="F115" s="98" t="n">
        <x:v>0.5</x:v>
      </x:c>
      <x:c r="G115" s="98" t="n">
        <x:v>0.28</x:v>
      </x:c>
      <x:c r="H115" s="98" t="n">
        <x:v>0.5</x:v>
      </x:c>
      <x:c r="I115" s="98" t="n">
        <x:v>0.76</x:v>
      </x:c>
      <x:c r="J115" s="98" t="n">
        <x:v>0.8161490683229815</x:v>
      </x:c>
      <x:c r="K115" s="90" t="n">
        <x:v>0</x:v>
      </x:c>
      <x:c r="L115" s="90" t="str">
        <x:v>D</x:v>
      </x:c>
      <x:c r="M115" s="90" t="str">
        <x:v>Data &amp; Analytics Intern</x:v>
      </x:c>
      <x:c r="N115" s="90" t="str">
        <x:v>Data Analytics</x:v>
      </x:c>
      <x:c r="O115" s="90" t="str">
        <x:v>Three analytics internships plus SQL, Python, Tableau, forecasting and segmentation directly match the lane.</x:v>
      </x:c>
      <x:c r="P115" s="90" t="str">
        <x:v>CPT/future-sponsorship wording must be verified; Low personal industry preference; No matching public role found in reviewed trackers; LinkedIn network evidence pending</x:v>
      </x:c>
    </x:row>
    <x:row r="116" ht="46" customHeight="1">
      <x:c r="A116" s="90" t="str">
        <x:v>Nestlé</x:v>
      </x:c>
      <x:c r="B116" s="98" t="n">
        <x:v>0.62</x:v>
      </x:c>
      <x:c r="C116" s="98" t="n">
        <x:v>0.9367192584188541</x:v>
      </x:c>
      <x:c r="D116" s="98" t="n">
        <x:v>0.5781283894590271</x:v>
      </x:c>
      <x:c r="E116" s="98" t="n">
        <x:v>0.644</x:v>
      </x:c>
      <x:c r="F116" s="98" t="n">
        <x:v>0.5</x:v>
      </x:c>
      <x:c r="G116" s="98" t="n">
        <x:v>0.28</x:v>
      </x:c>
      <x:c r="H116" s="98" t="n">
        <x:v>0.5</x:v>
      </x:c>
      <x:c r="I116" s="98" t="n">
        <x:v>0.76</x:v>
      </x:c>
      <x:c r="J116" s="98" t="n">
        <x:v>0.831055900621118</x:v>
      </x:c>
      <x:c r="K116" s="90" t="n">
        <x:v>0</x:v>
      </x:c>
      <x:c r="L116" s="90" t="str">
        <x:v>D</x:v>
      </x:c>
      <x:c r="M116" s="90" t="str">
        <x:v>Data Analytics Intern</x:v>
      </x:c>
      <x:c r="N116" s="90" t="str">
        <x:v>Data Analytics</x:v>
      </x:c>
      <x:c r="O116" s="90" t="str">
        <x:v>Three analytics internships plus SQL, Python, Tableau, forecasting and segmentation directly match the lane.</x:v>
      </x:c>
      <x:c r="P116" s="90" t="str">
        <x:v>CPT/future-sponsorship wording must be verified; Low personal industry preference; No matching public role found in reviewed trackers; LinkedIn network evidence pending</x:v>
      </x:c>
    </x:row>
    <x:row r="117" ht="46" customHeight="1">
      <x:c r="A117" s="90" t="str">
        <x:v>Twilio</x:v>
      </x:c>
      <x:c r="B117" s="98" t="n">
        <x:v>0.62</x:v>
      </x:c>
      <x:c r="C117" s="98" t="n">
        <x:v>0.8667079075710682</x:v>
      </x:c>
      <x:c r="D117" s="98" t="n">
        <x:v>0.7647193838071218</x:v>
      </x:c>
      <x:c r="E117" s="98" t="n">
        <x:v>0.545</x:v>
      </x:c>
      <x:c r="F117" s="98" t="n">
        <x:v>0.5</x:v>
      </x:c>
      <x:c r="G117" s="98" t="n">
        <x:v>0.88</x:v>
      </x:c>
      <x:c r="H117" s="98" t="n">
        <x:v>0.5</x:v>
      </x:c>
      <x:c r="I117" s="98" t="n">
        <x:v>0.76</x:v>
      </x:c>
      <x:c r="J117" s="98" t="n">
        <x:v>0.4832298136645963</x:v>
      </x:c>
      <x:c r="K117" s="90" t="n">
        <x:v>0</x:v>
      </x:c>
      <x:c r="L117" s="90" t="str">
        <x:v>D</x:v>
      </x:c>
      <x:c r="M117" s="90" t="str">
        <x:v>Data Science Intern</x:v>
      </x:c>
      <x:c r="N117" s="90" t="str">
        <x:v>Data Science</x:v>
      </x:c>
      <x:c r="O117" s="90" t="str">
        <x:v>ALSAC data science, propensity modeling, DataRobot, Python/SQL and ML research form a clear progression.</x:v>
      </x:c>
      <x:c r="P117" s="90" t="str">
        <x:v>CPT/future-sponsorship wording must be verified; Observed roles show graduate-degree skew; No matching public role found in reviewed trackers; LinkedIn network evidence pending</x:v>
      </x:c>
    </x:row>
    <x:row r="118" ht="46" customHeight="1">
      <x:c r="A118" s="90" t="str">
        <x:v>VMware (Broadcom)</x:v>
      </x:c>
      <x:c r="B118" s="98" t="n">
        <x:v>0.62</x:v>
      </x:c>
      <x:c r="C118" s="98" t="n">
        <x:v>0.8667079075710682</x:v>
      </x:c>
      <x:c r="D118" s="98" t="n">
        <x:v>0.7647193838071218</x:v>
      </x:c>
      <x:c r="E118" s="98" t="n">
        <x:v>0.545</x:v>
      </x:c>
      <x:c r="F118" s="98" t="n">
        <x:v>0.5</x:v>
      </x:c>
      <x:c r="G118" s="98" t="n">
        <x:v>0.88</x:v>
      </x:c>
      <x:c r="H118" s="98" t="n">
        <x:v>0.5</x:v>
      </x:c>
      <x:c r="I118" s="98" t="n">
        <x:v>0.76</x:v>
      </x:c>
      <x:c r="J118" s="98" t="n">
        <x:v>0.48819875776397514</x:v>
      </x:c>
      <x:c r="K118" s="90" t="n">
        <x:v>0</x:v>
      </x:c>
      <x:c r="L118" s="90" t="str">
        <x:v>D</x:v>
      </x:c>
      <x:c r="M118" s="90" t="str">
        <x:v>Data Science Intern</x:v>
      </x:c>
      <x:c r="N118" s="90" t="str">
        <x:v>Data Science</x:v>
      </x:c>
      <x:c r="O118" s="90" t="str">
        <x:v>ALSAC data science, propensity modeling, DataRobot, Python/SQL and ML research form a clear progression.</x:v>
      </x:c>
      <x:c r="P118" s="90" t="str">
        <x:v>CPT/future-sponsorship wording must be verified; Observed roles show graduate-degree skew; No matching public role found in reviewed trackers; LinkedIn network evidence pending</x:v>
      </x:c>
    </x:row>
    <x:row r="119" ht="46" customHeight="1">
      <x:c r="A119" s="90" t="str">
        <x:v>Grammarly</x:v>
      </x:c>
      <x:c r="B119" s="98" t="n">
        <x:v>0.62</x:v>
      </x:c>
      <x:c r="C119" s="98" t="n">
        <x:v>0.8667079075710682</x:v>
      </x:c>
      <x:c r="D119" s="98" t="n">
        <x:v>0.7647193838071218</x:v>
      </x:c>
      <x:c r="E119" s="98" t="n">
        <x:v>0.545</x:v>
      </x:c>
      <x:c r="F119" s="98" t="n">
        <x:v>0.5</x:v>
      </x:c>
      <x:c r="G119" s="98" t="n">
        <x:v>0.88</x:v>
      </x:c>
      <x:c r="H119" s="98" t="n">
        <x:v>0.5</x:v>
      </x:c>
      <x:c r="I119" s="98" t="n">
        <x:v>0.76</x:v>
      </x:c>
      <x:c r="J119" s="98" t="n">
        <x:v>0.4782608695652174</x:v>
      </x:c>
      <x:c r="K119" s="90" t="n">
        <x:v>0</x:v>
      </x:c>
      <x:c r="L119" s="90" t="str">
        <x:v>D</x:v>
      </x:c>
      <x:c r="M119" s="90" t="str">
        <x:v>Data Science Intern</x:v>
      </x:c>
      <x:c r="N119" s="90" t="str">
        <x:v>Data Science</x:v>
      </x:c>
      <x:c r="O119" s="90" t="str">
        <x:v>ALSAC data science, propensity modeling, DataRobot, Python/SQL and ML research form a clear progression.</x:v>
      </x:c>
      <x:c r="P119" s="90" t="str">
        <x:v>CPT/future-sponsorship wording must be verified; Observed roles show graduate-degree skew; No matching public role found in reviewed trackers; LinkedIn network evidence pending</x:v>
      </x:c>
    </x:row>
    <x:row r="120" ht="46" customHeight="1">
      <x:c r="A120" s="90" t="str">
        <x:v>Colgate-Palmolive</x:v>
      </x:c>
      <x:c r="B120" s="98" t="n">
        <x:v>0.62</x:v>
      </x:c>
      <x:c r="C120" s="98" t="n">
        <x:v>0.9367192584188541</x:v>
      </x:c>
      <x:c r="D120" s="98" t="n">
        <x:v>0.5781283894590271</x:v>
      </x:c>
      <x:c r="E120" s="98" t="n">
        <x:v>0.644</x:v>
      </x:c>
      <x:c r="F120" s="98" t="n">
        <x:v>0.5</x:v>
      </x:c>
      <x:c r="G120" s="98" t="n">
        <x:v>0.28</x:v>
      </x:c>
      <x:c r="H120" s="98" t="n">
        <x:v>0.5</x:v>
      </x:c>
      <x:c r="I120" s="98" t="n">
        <x:v>0.76</x:v>
      </x:c>
      <x:c r="J120" s="98" t="n">
        <x:v>0.8062111801242235</x:v>
      </x:c>
      <x:c r="K120" s="90" t="n">
        <x:v>0</x:v>
      </x:c>
      <x:c r="L120" s="90" t="str">
        <x:v>D</x:v>
      </x:c>
      <x:c r="M120" s="90" t="str">
        <x:v>Data Analytics Intern</x:v>
      </x:c>
      <x:c r="N120" s="90" t="str">
        <x:v>Data Analytics</x:v>
      </x:c>
      <x:c r="O120" s="90" t="str">
        <x:v>Three analytics internships plus SQL, Python, Tableau, forecasting and segmentation directly match the lane.</x:v>
      </x:c>
      <x:c r="P120" s="90" t="str">
        <x:v>CPT/future-sponsorship wording must be verified; Low personal industry preference; No matching public role found in reviewed trackers; LinkedIn network evidence pending</x:v>
      </x:c>
    </x:row>
    <x:row r="121" ht="46" customHeight="1">
      <x:c r="A121" s="90" t="str">
        <x:v>CarMax</x:v>
      </x:c>
      <x:c r="B121" s="98" t="n">
        <x:v>0.62</x:v>
      </x:c>
      <x:c r="C121" s="98" t="n">
        <x:v>0.9019999999999999</x:v>
      </x:c>
      <x:c r="D121" s="98" t="n">
        <x:v>1</x:v>
      </x:c>
      <x:c r="E121" s="98" t="n">
        <x:v>0.545</x:v>
      </x:c>
      <x:c r="F121" s="98" t="n">
        <x:v>0.5</x:v>
      </x:c>
      <x:c r="G121" s="98" t="n">
        <x:v>0.28</x:v>
      </x:c>
      <x:c r="H121" s="98" t="n">
        <x:v>0.62</x:v>
      </x:c>
      <x:c r="I121" s="98" t="n">
        <x:v>0.76</x:v>
      </x:c>
      <x:c r="J121" s="98" t="n">
        <x:v>0.9304347826086957</x:v>
      </x:c>
      <x:c r="K121" s="90" t="n">
        <x:v>0</x:v>
      </x:c>
      <x:c r="L121" s="90" t="str">
        <x:v>D</x:v>
      </x:c>
      <x:c r="M121" s="90" t="str">
        <x:v>Data Science Intern</x:v>
      </x:c>
      <x:c r="N121" s="90" t="str">
        <x:v>Data Science</x:v>
      </x:c>
      <x:c r="O121" s="90" t="str">
        <x:v>ALSAC data science, propensity modeling, DataRobot, Python/SQL and ML research form a clear progression.</x:v>
      </x:c>
      <x:c r="P121" s="90" t="str">
        <x:v>CPT/future-sponsorship wording must be verified; Observed roles show graduate-degree skew; Low personal industry preference; No matching public role found in reviewed trackers</x:v>
      </x:c>
    </x:row>
    <x:row r="122" ht="46" customHeight="1">
      <x:c r="A122" s="90" t="str">
        <x:v>Deloitte</x:v>
      </x:c>
      <x:c r="B122" s="98" t="n">
        <x:v>0.7</x:v>
      </x:c>
      <x:c r="C122" s="98" t="n">
        <x:v>0.792</x:v>
      </x:c>
      <x:c r="D122" s="98" t="n">
        <x:v>0</x:v>
      </x:c>
      <x:c r="E122" s="98" t="n">
        <x:v>0.655706815277534</x:v>
      </x:c>
      <x:c r="F122" s="98" t="n">
        <x:v>0.75</x:v>
      </x:c>
      <x:c r="G122" s="98" t="n">
        <x:v>0.8</x:v>
      </x:c>
      <x:c r="H122" s="98" t="n">
        <x:v>0.5</x:v>
      </x:c>
      <x:c r="I122" s="98" t="n">
        <x:v>0.6799999999999999</x:v>
      </x:c>
      <x:c r="J122" s="98" t="n">
        <x:v>0.3987577639751553</x:v>
      </x:c>
      <x:c r="K122" s="90" t="n">
        <x:v>1</x:v>
      </x:c>
      <x:c r="L122" s="90" t="str">
        <x:v>C</x:v>
      </x:c>
      <x:c r="M122" s="90" t="str">
        <x:v>Discovery Intern / Business Technology Solutions</x:v>
      </x:c>
      <x:c r="N122" s="90" t="str">
        <x:v>Analytics Consulting</x:v>
      </x:c>
      <x:c r="O122" s="90" t="str">
        <x:v>Technical analytics plus economics, research and residential leadership support client-facing analytical work.</x:v>
      </x:c>
      <x:c r="P122" s="90" t="str">
        <x:v>CPT/future-sponsorship wording must be verified; 3.31 GPA may sit below a preferred threshold; LinkedIn network evidence pending</x:v>
      </x:c>
    </x:row>
    <x:row r="123" ht="46" customHeight="1">
      <x:c r="A123" s="90" t="str">
        <x:v>Discover</x:v>
      </x:c>
      <x:c r="B123" s="98" t="n">
        <x:v>0.62</x:v>
      </x:c>
      <x:c r="C123" s="98" t="n">
        <x:v>0.8632638501310361</x:v>
      </x:c>
      <x:c r="D123" s="98" t="n">
        <x:v>0.6417590008735737</x:v>
      </x:c>
      <x:c r="E123" s="98" t="n">
        <x:v>0.545</x:v>
      </x:c>
      <x:c r="F123" s="98" t="n">
        <x:v>0.5</x:v>
      </x:c>
      <x:c r="G123" s="98" t="n">
        <x:v>0.92</x:v>
      </x:c>
      <x:c r="H123" s="98" t="n">
        <x:v>0.5</x:v>
      </x:c>
      <x:c r="I123" s="98" t="n">
        <x:v>0.76</x:v>
      </x:c>
      <x:c r="J123" s="98" t="n">
        <x:v>0.3838509316770186</x:v>
      </x:c>
      <x:c r="K123" s="90" t="n">
        <x:v>0</x:v>
      </x:c>
      <x:c r="L123" s="90" t="str">
        <x:v>D</x:v>
      </x:c>
      <x:c r="M123" s="90" t="str">
        <x:v>Data Science Intern</x:v>
      </x:c>
      <x:c r="N123" s="90" t="str">
        <x:v>Data Science</x:v>
      </x:c>
      <x:c r="O123" s="90" t="str">
        <x:v>ALSAC data science, propensity modeling, DataRobot, Python/SQL and ML research form a clear progression.</x:v>
      </x:c>
      <x:c r="P123" s="90" t="str">
        <x:v>CPT/future-sponsorship wording must be verified; Observed roles show graduate-degree skew; No matching public role found in reviewed trackers; LinkedIn network evidence pending</x:v>
      </x:c>
    </x:row>
    <x:row r="124" ht="46" customHeight="1">
      <x:c r="A124" s="90" t="str">
        <x:v>Disney</x:v>
      </x:c>
      <x:c r="B124" s="98" t="n">
        <x:v>0.62</x:v>
      </x:c>
      <x:c r="C124" s="98" t="n">
        <x:v>0.8068957951380824</x:v>
      </x:c>
      <x:c r="D124" s="98" t="n">
        <x:v>0.265971967587216</x:v>
      </x:c>
      <x:c r="E124" s="98" t="n">
        <x:v>0.545</x:v>
      </x:c>
      <x:c r="F124" s="98" t="n">
        <x:v>0.5</x:v>
      </x:c>
      <x:c r="G124" s="98" t="n">
        <x:v>0.82</x:v>
      </x:c>
      <x:c r="H124" s="98" t="n">
        <x:v>0.5</x:v>
      </x:c>
      <x:c r="I124" s="98" t="n">
        <x:v>0.76</x:v>
      </x:c>
      <x:c r="J124" s="98" t="n">
        <x:v>0.5726708074534161</x:v>
      </x:c>
      <x:c r="K124" s="90" t="n">
        <x:v>0</x:v>
      </x:c>
      <x:c r="L124" s="90" t="str">
        <x:v>D</x:v>
      </x:c>
      <x:c r="M124" s="90" t="str">
        <x:v>Data Science / Decision Science Intern</x:v>
      </x:c>
      <x:c r="N124" s="90" t="str">
        <x:v>Data Science</x:v>
      </x:c>
      <x:c r="O124" s="90" t="str">
        <x:v>ALSAC data science, propensity modeling, DataRobot, Python/SQL and ML research form a clear progression.</x:v>
      </x:c>
      <x:c r="P124" s="90" t="str">
        <x:v>CPT/future-sponsorship wording must be verified; Observed roles show graduate-degree skew; No matching public role found in reviewed trackers; LinkedIn network evidence pending</x:v>
      </x:c>
    </x:row>
    <x:row r="125" ht="46" customHeight="1">
      <x:c r="A125" s="90" t="str">
        <x:v>Palantir</x:v>
      </x:c>
      <x:c r="B125" s="98" t="n">
        <x:v>0.62</x:v>
      </x:c>
      <x:c r="C125" s="98" t="n">
        <x:v>0.85</x:v>
      </x:c>
      <x:c r="D125" s="98" t="n">
        <x:v>0</x:v>
      </x:c>
      <x:c r="E125" s="98" t="n">
        <x:v>0.6366632657377875</x:v>
      </x:c>
      <x:c r="F125" s="98" t="n">
        <x:v>0.75</x:v>
      </x:c>
      <x:c r="G125" s="98" t="n">
        <x:v>0.88</x:v>
      </x:c>
      <x:c r="H125" s="98" t="n">
        <x:v>0.5</x:v>
      </x:c>
      <x:c r="I125" s="98" t="n">
        <x:v>0.76</x:v>
      </x:c>
      <x:c r="J125" s="98" t="n">
        <x:v>0.21987577639751557</x:v>
      </x:c>
      <x:c r="K125" s="90" t="n">
        <x:v>1</x:v>
      </x:c>
      <x:c r="L125" s="90" t="str">
        <x:v>C</x:v>
      </x:c>
      <x:c r="M125" s="90" t="str">
        <x:v>Data Analyst / Deployment Strategist Intern</x:v>
      </x:c>
      <x:c r="N125" s="90" t="str">
        <x:v>Data Analytics</x:v>
      </x:c>
      <x:c r="O125" s="90" t="str">
        <x:v>Three analytics internships plus SQL, Python, Tableau, forecasting and segmentation directly match the lane.</x:v>
      </x:c>
      <x:c r="P125" s="90" t="str">
        <x:v>CPT/future-sponsorship wording must be verified; LinkedIn network evidence pending</x:v>
      </x:c>
    </x:row>
    <x:row r="126" ht="46" customHeight="1">
      <x:c r="A126" s="90" t="str">
        <x:v>Domino's</x:v>
      </x:c>
      <x:c r="B126" s="98" t="n">
        <x:v>0.62</x:v>
      </x:c>
      <x:c r="C126" s="98" t="n">
        <x:v>0.8643893874657258</x:v>
      </x:c>
      <x:c r="D126" s="98" t="n">
        <x:v>0.7492625831048387</x:v>
      </x:c>
      <x:c r="E126" s="98" t="n">
        <x:v>0.545</x:v>
      </x:c>
      <x:c r="F126" s="98" t="n">
        <x:v>0.5</x:v>
      </x:c>
      <x:c r="G126" s="98" t="n">
        <x:v>0.28</x:v>
      </x:c>
      <x:c r="H126" s="98" t="n">
        <x:v>0.5</x:v>
      </x:c>
      <x:c r="I126" s="98" t="n">
        <x:v>0.76</x:v>
      </x:c>
      <x:c r="J126" s="98" t="n">
        <x:v>0.9503105590062113</x:v>
      </x:c>
      <x:c r="K126" s="90" t="n">
        <x:v>0</x:v>
      </x:c>
      <x:c r="L126" s="90" t="str">
        <x:v>D</x:v>
      </x:c>
      <x:c r="M126" s="90" t="str">
        <x:v>Data Science / Analytics Intern</x:v>
      </x:c>
      <x:c r="N126" s="90" t="str">
        <x:v>Data Science</x:v>
      </x:c>
      <x:c r="O126" s="90" t="str">
        <x:v>ALSAC data science, propensity modeling, DataRobot, Python/SQL and ML research form a clear progression.</x:v>
      </x:c>
      <x:c r="P126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27" ht="46" customHeight="1">
      <x:c r="A127" s="90" t="str">
        <x:v>Experian</x:v>
      </x:c>
      <x:c r="B127" s="98" t="n">
        <x:v>0.62</x:v>
      </x:c>
      <x:c r="C127" s="98" t="n">
        <x:v>0.8362936915656354</x:v>
      </x:c>
      <x:c r="D127" s="98" t="n">
        <x:v>0.5619579437709022</x:v>
      </x:c>
      <x:c r="E127" s="98" t="n">
        <x:v>0.545</x:v>
      </x:c>
      <x:c r="F127" s="98" t="n">
        <x:v>0.5</x:v>
      </x:c>
      <x:c r="G127" s="98" t="n">
        <x:v>0.62</x:v>
      </x:c>
      <x:c r="H127" s="98" t="n">
        <x:v>0.5</x:v>
      </x:c>
      <x:c r="I127" s="98" t="n">
        <x:v>0.76</x:v>
      </x:c>
      <x:c r="J127" s="98" t="n">
        <x:v>0.6024844720496894</x:v>
      </x:c>
      <x:c r="K127" s="90" t="n">
        <x:v>0</x:v>
      </x:c>
      <x:c r="L127" s="90" t="str">
        <x:v>D</x:v>
      </x:c>
      <x:c r="M127" s="90" t="str">
        <x:v>Data Science Intern</x:v>
      </x:c>
      <x:c r="N127" s="90" t="str">
        <x:v>Data Science</x:v>
      </x:c>
      <x:c r="O127" s="90" t="str">
        <x:v>ALSAC data science, propensity modeling, DataRobot, Python/SQL and ML research form a clear progression.</x:v>
      </x:c>
      <x:c r="P127" s="90" t="str">
        <x:v>CPT/future-sponsorship wording must be verified; Observed roles show graduate-degree skew; No matching public role found in reviewed trackers; LinkedIn network evidence pending</x:v>
      </x:c>
    </x:row>
    <x:row r="128" ht="46" customHeight="1">
      <x:c r="A128" s="90" t="str">
        <x:v>Equifax</x:v>
      </x:c>
      <x:c r="B128" s="98" t="n">
        <x:v>0.62</x:v>
      </x:c>
      <x:c r="C128" s="98" t="n">
        <x:v>0.8362936915656354</x:v>
      </x:c>
      <x:c r="D128" s="98" t="n">
        <x:v>0.5619579437709022</x:v>
      </x:c>
      <x:c r="E128" s="98" t="n">
        <x:v>0.545</x:v>
      </x:c>
      <x:c r="F128" s="98" t="n">
        <x:v>0.5</x:v>
      </x:c>
      <x:c r="G128" s="98" t="n">
        <x:v>0.62</x:v>
      </x:c>
      <x:c r="H128" s="98" t="n">
        <x:v>0.5</x:v>
      </x:c>
      <x:c r="I128" s="98" t="n">
        <x:v>0.76</x:v>
      </x:c>
      <x:c r="J128" s="98" t="n">
        <x:v>0.5975155279503106</x:v>
      </x:c>
      <x:c r="K128" s="90" t="n">
        <x:v>0</x:v>
      </x:c>
      <x:c r="L128" s="90" t="str">
        <x:v>D</x:v>
      </x:c>
      <x:c r="M128" s="90" t="str">
        <x:v>Data Science Intern</x:v>
      </x:c>
      <x:c r="N128" s="90" t="str">
        <x:v>Data Science</x:v>
      </x:c>
      <x:c r="O128" s="90" t="str">
        <x:v>ALSAC data science, propensity modeling, DataRobot, Python/SQL and ML research form a clear progression.</x:v>
      </x:c>
      <x:c r="P128" s="90" t="str">
        <x:v>CPT/future-sponsorship wording must be verified; Observed roles show graduate-degree skew; No matching public role found in reviewed trackers; LinkedIn network evidence pending</x:v>
      </x:c>
    </x:row>
    <x:row r="129" ht="46" customHeight="1">
      <x:c r="A129" s="90" t="str">
        <x:v>FICO</x:v>
      </x:c>
      <x:c r="B129" s="98" t="n">
        <x:v>0.62</x:v>
      </x:c>
      <x:c r="C129" s="98" t="n">
        <x:v>0.8362936915656354</x:v>
      </x:c>
      <x:c r="D129" s="98" t="n">
        <x:v>0.5619579437709022</x:v>
      </x:c>
      <x:c r="E129" s="98" t="n">
        <x:v>0.545</x:v>
      </x:c>
      <x:c r="F129" s="98" t="n">
        <x:v>0.5</x:v>
      </x:c>
      <x:c r="G129" s="98" t="n">
        <x:v>0.62</x:v>
      </x:c>
      <x:c r="H129" s="98" t="n">
        <x:v>0.5</x:v>
      </x:c>
      <x:c r="I129" s="98" t="n">
        <x:v>0.76</x:v>
      </x:c>
      <x:c r="J129" s="98" t="n">
        <x:v>0.5875776397515529</x:v>
      </x:c>
      <x:c r="K129" s="90" t="n">
        <x:v>0</x:v>
      </x:c>
      <x:c r="L129" s="90" t="str">
        <x:v>D</x:v>
      </x:c>
      <x:c r="M129" s="90" t="str">
        <x:v>Data Science Intern</x:v>
      </x:c>
      <x:c r="N129" s="90" t="str">
        <x:v>Data Science</x:v>
      </x:c>
      <x:c r="O129" s="90" t="str">
        <x:v>ALSAC data science, propensity modeling, DataRobot, Python/SQL and ML research form a clear progression.</x:v>
      </x:c>
      <x:c r="P129" s="90" t="str">
        <x:v>CPT/future-sponsorship wording must be verified; Observed roles show graduate-degree skew; No matching public role found in reviewed trackers; LinkedIn network evidence pending</x:v>
      </x:c>
    </x:row>
    <x:row r="130" ht="46" customHeight="1">
      <x:c r="A130" s="90" t="str">
        <x:v>TransUnion</x:v>
      </x:c>
      <x:c r="B130" s="98" t="n">
        <x:v>0.62</x:v>
      </x:c>
      <x:c r="C130" s="98" t="n">
        <x:v>0.8362936915656354</x:v>
      </x:c>
      <x:c r="D130" s="98" t="n">
        <x:v>0.5619579437709022</x:v>
      </x:c>
      <x:c r="E130" s="98" t="n">
        <x:v>0.545</x:v>
      </x:c>
      <x:c r="F130" s="98" t="n">
        <x:v>0.5</x:v>
      </x:c>
      <x:c r="G130" s="98" t="n">
        <x:v>0.62</x:v>
      </x:c>
      <x:c r="H130" s="98" t="n">
        <x:v>0.5</x:v>
      </x:c>
      <x:c r="I130" s="98" t="n">
        <x:v>0.76</x:v>
      </x:c>
      <x:c r="J130" s="98" t="n">
        <x:v>0.5925465838509317</x:v>
      </x:c>
      <x:c r="K130" s="90" t="n">
        <x:v>0</x:v>
      </x:c>
      <x:c r="L130" s="90" t="str">
        <x:v>D</x:v>
      </x:c>
      <x:c r="M130" s="90" t="str">
        <x:v>Data Science Intern</x:v>
      </x:c>
      <x:c r="N130" s="90" t="str">
        <x:v>Data Science</x:v>
      </x:c>
      <x:c r="O130" s="90" t="str">
        <x:v>ALSAC data science, propensity modeling, DataRobot, Python/SQL and ML research form a clear progression.</x:v>
      </x:c>
      <x:c r="P130" s="90" t="str">
        <x:v>CPT/future-sponsorship wording must be verified; Observed roles show graduate-degree skew; No matching public role found in reviewed trackers; LinkedIn network evidence pending</x:v>
      </x:c>
    </x:row>
    <x:row r="131" ht="46" customHeight="1">
      <x:c r="A131" s="90" t="str">
        <x:v>Lowe's</x:v>
      </x:c>
      <x:c r="B131" s="98" t="n">
        <x:v>0.62</x:v>
      </x:c>
      <x:c r="C131" s="98" t="n">
        <x:v>0.9143413921888797</x:v>
      </x:c>
      <x:c r="D131" s="98" t="n">
        <x:v>0.428942614592531</x:v>
      </x:c>
      <x:c r="E131" s="98" t="n">
        <x:v>0.644</x:v>
      </x:c>
      <x:c r="F131" s="98" t="n">
        <x:v>0.5</x:v>
      </x:c>
      <x:c r="G131" s="98" t="n">
        <x:v>0.28</x:v>
      </x:c>
      <x:c r="H131" s="98" t="n">
        <x:v>0.5</x:v>
      </x:c>
      <x:c r="I131" s="98" t="n">
        <x:v>0.76</x:v>
      </x:c>
      <x:c r="J131" s="98" t="n">
        <x:v>0.6124223602484472</x:v>
      </x:c>
      <x:c r="K131" s="90" t="n">
        <x:v>0</x:v>
      </x:c>
      <x:c r="L131" s="90" t="str">
        <x:v>D</x:v>
      </x:c>
      <x:c r="M131" s="90" t="str">
        <x:v>Data Analytics Intern</x:v>
      </x:c>
      <x:c r="N131" s="90" t="str">
        <x:v>Data Analytics</x:v>
      </x:c>
      <x:c r="O131" s="90" t="str">
        <x:v>Three analytics internships plus SQL, Python, Tableau, forecasting and segmentation directly match the lane.</x:v>
      </x:c>
      <x:c r="P131" s="90" t="str">
        <x:v>CPT/future-sponsorship wording must be verified; Low personal industry preference; No matching public role found in reviewed trackers; LinkedIn network evidence pending</x:v>
      </x:c>
    </x:row>
    <x:row r="132" ht="46" customHeight="1">
      <x:c r="A132" s="90" t="str">
        <x:v>MSCI</x:v>
      </x:c>
      <x:c r="B132" s="98" t="n">
        <x:v>0.62</x:v>
      </x:c>
      <x:c r="C132" s="98" t="n">
        <x:v>0.7774854678568683</x:v>
      </x:c>
      <x:c r="D132" s="98" t="n">
        <x:v>0.28323645237912143</x:v>
      </x:c>
      <x:c r="E132" s="98" t="n">
        <x:v>0.635</x:v>
      </x:c>
      <x:c r="F132" s="98" t="n">
        <x:v>0.5</x:v>
      </x:c>
      <x:c r="G132" s="98" t="n">
        <x:v>0.92</x:v>
      </x:c>
      <x:c r="H132" s="98" t="n">
        <x:v>0.5</x:v>
      </x:c>
      <x:c r="I132" s="98" t="n">
        <x:v>0.76</x:v>
      </x:c>
      <x:c r="J132" s="98" t="n">
        <x:v>0.3093167701863354</x:v>
      </x:c>
      <x:c r="K132" s="90" t="n">
        <x:v>0</x:v>
      </x:c>
      <x:c r="L132" s="90" t="str">
        <x:v>D</x:v>
      </x:c>
      <x:c r="M132" s="90" t="str">
        <x:v>Data / Research Intern</x:v>
      </x:c>
      <x:c r="N132" s="90" t="str">
        <x:v>Data/Analytics</x:v>
      </x:c>
      <x:c r="O132" s="90" t="str">
        <x:v>ALSAC, Mankind and Kajaria provide a three-internship analytics progression before junior year.</x:v>
      </x:c>
      <x:c r="P132" s="90" t="str">
        <x:v>CPT/future-sponsorship wording must be verified; No matching public role found in reviewed trackers; LinkedIn network evidence pending</x:v>
      </x:c>
    </x:row>
    <x:row r="133" ht="46" customHeight="1">
      <x:c r="A133" s="90" t="str">
        <x:v>S&amp;P Global</x:v>
      </x:c>
      <x:c r="B133" s="98" t="n">
        <x:v>0.62</x:v>
      </x:c>
      <x:c r="C133" s="98" t="n">
        <x:v>0.8205852978567879</x:v>
      </x:c>
      <x:c r="D133" s="98" t="n">
        <x:v>0.4572353190452527</x:v>
      </x:c>
      <x:c r="E133" s="98" t="n">
        <x:v>0.545</x:v>
      </x:c>
      <x:c r="F133" s="98" t="n">
        <x:v>0.5</x:v>
      </x:c>
      <x:c r="G133" s="98" t="n">
        <x:v>0.92</x:v>
      </x:c>
      <x:c r="H133" s="98" t="n">
        <x:v>0.5</x:v>
      </x:c>
      <x:c r="I133" s="98" t="n">
        <x:v>0.76</x:v>
      </x:c>
      <x:c r="J133" s="98" t="n">
        <x:v>0.31428571428571433</x:v>
      </x:c>
      <x:c r="K133" s="90" t="n">
        <x:v>0</x:v>
      </x:c>
      <x:c r="L133" s="90" t="str">
        <x:v>D</x:v>
      </x:c>
      <x:c r="M133" s="90" t="str">
        <x:v>Data Science Intern</x:v>
      </x:c>
      <x:c r="N133" s="90" t="str">
        <x:v>Data Science</x:v>
      </x:c>
      <x:c r="O133" s="90" t="str">
        <x:v>ALSAC data science, propensity modeling, DataRobot, Python/SQL and ML research form a clear progression.</x:v>
      </x:c>
      <x:c r="P133" s="90" t="str">
        <x:v>CPT/future-sponsorship wording must be verified; Observed roles show graduate-degree skew; No matching public role found in reviewed trackers; LinkedIn network evidence pending</x:v>
      </x:c>
    </x:row>
    <x:row r="134" ht="46" customHeight="1">
      <x:c r="A134" s="90" t="str">
        <x:v>OpenAI</x:v>
      </x:c>
      <x:c r="B134" s="98" t="n">
        <x:v>0.62</x:v>
      </x:c>
      <x:c r="C134" s="98" t="n">
        <x:v>0.8385209721744891</x:v>
      </x:c>
      <x:c r="D134" s="98" t="n">
        <x:v>0.5768064811632598</x:v>
      </x:c>
      <x:c r="E134" s="98" t="n">
        <x:v>0.545</x:v>
      </x:c>
      <x:c r="F134" s="98" t="n">
        <x:v>0.5</x:v>
      </x:c>
      <x:c r="G134" s="98" t="n">
        <x:v>0.92</x:v>
      </x:c>
      <x:c r="H134" s="98" t="n">
        <x:v>0.5</x:v>
      </x:c>
      <x:c r="I134" s="98" t="n">
        <x:v>0.76</x:v>
      </x:c>
      <x:c r="J134" s="98" t="n">
        <x:v>0.21490683229813667</x:v>
      </x:c>
      <x:c r="K134" s="90" t="n">
        <x:v>0</x:v>
      </x:c>
      <x:c r="L134" s="90" t="str">
        <x:v>D</x:v>
      </x:c>
      <x:c r="M134" s="90" t="str">
        <x:v>Research / Data Intern</x:v>
      </x:c>
      <x:c r="N134" s="90" t="str">
        <x:v>Data Science</x:v>
      </x:c>
      <x:c r="O134" s="90" t="str">
        <x:v>ALSAC data science, propensity modeling, DataRobot, Python/SQL and ML research form a clear progression.</x:v>
      </x:c>
      <x:c r="P134" s="90" t="str">
        <x:v>CPT/future-sponsorship wording must be verified; Observed roles show graduate-degree skew; No matching public role found in reviewed trackers; LinkedIn network evidence pending</x:v>
      </x:c>
    </x:row>
    <x:row r="135" ht="46" customHeight="1">
      <x:c r="A135" s="90" t="str">
        <x:v>KPMG</x:v>
      </x:c>
      <x:c r="B135" s="98" t="n">
        <x:v>0.5599999999999999</x:v>
      </x:c>
      <x:c r="C135" s="98" t="n">
        <x:v>0.8431581307917386</x:v>
      </x:c>
      <x:c r="D135" s="98" t="n">
        <x:v>0.3410542052782568</x:v>
      </x:c>
      <x:c r="E135" s="98" t="n">
        <x:v>0.635</x:v>
      </x:c>
      <x:c r="F135" s="98" t="n">
        <x:v>0.5</x:v>
      </x:c>
      <x:c r="G135" s="98" t="n">
        <x:v>0.8</x:v>
      </x:c>
      <x:c r="H135" s="98" t="n">
        <x:v>0.5</x:v>
      </x:c>
      <x:c r="I135" s="98" t="n">
        <x:v>0.6799999999999999</x:v>
      </x:c>
      <x:c r="J135" s="98" t="n">
        <x:v>0.38881987577639754</x:v>
      </x:c>
      <x:c r="K135" s="90" t="n">
        <x:v>0</x:v>
      </x:c>
      <x:c r="L135" s="90" t="str">
        <x:v>D</x:v>
      </x:c>
      <x:c r="M135" s="90" t="str">
        <x:v>Advisory / Data Analytics Intern</x:v>
      </x:c>
      <x:c r="N135" s="90" t="str">
        <x:v>Analytics Consulting</x:v>
      </x:c>
      <x:c r="O135" s="90" t="str">
        <x:v>Technical analytics plus economics, research and residential leadership support client-facing analytical work.</x:v>
      </x:c>
      <x:c r="P135" s="90" t="str">
        <x:v>CPT/future-sponsorship wording must be verified; 3.31 GPA may sit below a preferred threshold; No matching public role found in reviewed trackers; LinkedIn network evidence pending</x:v>
      </x:c>
    </x:row>
    <x:row r="136" ht="46" customHeight="1">
      <x:c r="A136" s="90" t="str">
        <x:v>Best Buy</x:v>
      </x:c>
      <x:c r="B136" s="98" t="n">
        <x:v>0.62</x:v>
      </x:c>
      <x:c r="C136" s="98" t="n">
        <x:v>0.9143413921888797</x:v>
      </x:c>
      <x:c r="D136" s="98" t="n">
        <x:v>0.428942614592531</x:v>
      </x:c>
      <x:c r="E136" s="98" t="n">
        <x:v>0.644</x:v>
      </x:c>
      <x:c r="F136" s="98" t="n">
        <x:v>0.5</x:v>
      </x:c>
      <x:c r="G136" s="98" t="n">
        <x:v>0.28</x:v>
      </x:c>
      <x:c r="H136" s="98" t="n">
        <x:v>0.5</x:v>
      </x:c>
      <x:c r="I136" s="98" t="n">
        <x:v>0.76</x:v>
      </x:c>
      <x:c r="J136" s="98" t="n">
        <x:v>0.537888198757764</x:v>
      </x:c>
      <x:c r="K136" s="90" t="n">
        <x:v>0</x:v>
      </x:c>
      <x:c r="L136" s="90" t="str">
        <x:v>D</x:v>
      </x:c>
      <x:c r="M136" s="90" t="str">
        <x:v>Data Analytics Intern</x:v>
      </x:c>
      <x:c r="N136" s="90" t="str">
        <x:v>Data Analytics</x:v>
      </x:c>
      <x:c r="O136" s="90" t="str">
        <x:v>Three analytics internships plus SQL, Python, Tableau, forecasting and segmentation directly match the lane.</x:v>
      </x:c>
      <x:c r="P136" s="90" t="str">
        <x:v>CPT/future-sponsorship wording must be verified; Low personal industry preference; No matching public role found in reviewed trackers; LinkedIn network evidence pending</x:v>
      </x:c>
    </x:row>
    <x:row r="137" ht="46" customHeight="1">
      <x:c r="A137" s="90" t="str">
        <x:v>FedEx</x:v>
      </x:c>
      <x:c r="B137" s="98" t="n">
        <x:v>0.62</x:v>
      </x:c>
      <x:c r="C137" s="98" t="n">
        <x:v>0.8208222800137598</x:v>
      </x:c>
      <x:c r="D137" s="98" t="n">
        <x:v>0.4588152000917319</x:v>
      </x:c>
      <x:c r="E137" s="98" t="n">
        <x:v>0.545</x:v>
      </x:c>
      <x:c r="F137" s="98" t="n">
        <x:v>0.5</x:v>
      </x:c>
      <x:c r="G137" s="98" t="n">
        <x:v>0.28</x:v>
      </x:c>
      <x:c r="H137" s="98" t="n">
        <x:v>0.5</x:v>
      </x:c>
      <x:c r="I137" s="98" t="n">
        <x:v>0.76</x:v>
      </x:c>
      <x:c r="J137" s="98" t="n">
        <x:v>0.9354037267080745</x:v>
      </x:c>
      <x:c r="K137" s="90" t="n">
        <x:v>0</x:v>
      </x:c>
      <x:c r="L137" s="90" t="str">
        <x:v>D</x:v>
      </x:c>
      <x:c r="M137" s="90" t="str">
        <x:v>Data Science Intern</x:v>
      </x:c>
      <x:c r="N137" s="90" t="str">
        <x:v>Data Science</x:v>
      </x:c>
      <x:c r="O137" s="90" t="str">
        <x:v>ALSAC data science, propensity modeling, DataRobot, Python/SQL and ML research form a clear progression.</x:v>
      </x:c>
      <x:c r="P137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38" ht="46" customHeight="1">
      <x:c r="A138" s="90" t="str">
        <x:v>Anthropic</x:v>
      </x:c>
      <x:c r="B138" s="98" t="n">
        <x:v>0.62</x:v>
      </x:c>
      <x:c r="C138" s="98" t="n">
        <x:v>0.8206126836296352</x:v>
      </x:c>
      <x:c r="D138" s="98" t="n">
        <x:v>0.4574178908642354</x:v>
      </x:c>
      <x:c r="E138" s="98" t="n">
        <x:v>0.545</x:v>
      </x:c>
      <x:c r="F138" s="98" t="n">
        <x:v>0.5</x:v>
      </x:c>
      <x:c r="G138" s="98" t="n">
        <x:v>0.92</x:v>
      </x:c>
      <x:c r="H138" s="98" t="n">
        <x:v>0.5</x:v>
      </x:c>
      <x:c r="I138" s="98" t="n">
        <x:v>0.76</x:v>
      </x:c>
      <x:c r="J138" s="98" t="n">
        <x:v>0.20993788819875778</x:v>
      </x:c>
      <x:c r="K138" s="90" t="n">
        <x:v>0</x:v>
      </x:c>
      <x:c r="L138" s="90" t="str">
        <x:v>D</x:v>
      </x:c>
      <x:c r="M138" s="90" t="str">
        <x:v>Data / Policy / Research Intern</x:v>
      </x:c>
      <x:c r="N138" s="90" t="str">
        <x:v>Data Science</x:v>
      </x:c>
      <x:c r="O138" s="90" t="str">
        <x:v>ALSAC data science, propensity modeling, DataRobot, Python/SQL and ML research form a clear progression.</x:v>
      </x:c>
      <x:c r="P138" s="90" t="str">
        <x:v>CPT/future-sponsorship wording must be verified; Observed roles show graduate-degree skew; No matching public role found in reviewed trackers; LinkedIn network evidence pending</x:v>
      </x:c>
    </x:row>
    <x:row r="139" ht="46" customHeight="1">
      <x:c r="A139" s="90" t="str">
        <x:v>Bank of America</x:v>
      </x:c>
      <x:c r="B139" s="98" t="n">
        <x:v>0.52</x:v>
      </x:c>
      <x:c r="C139" s="98" t="n">
        <x:v>0.85</x:v>
      </x:c>
      <x:c r="D139" s="98" t="n">
        <x:v>0</x:v>
      </x:c>
      <x:c r="E139" s="98" t="n">
        <x:v>0.775122630442237</x:v>
      </x:c>
      <x:c r="F139" s="98" t="n">
        <x:v>1</x:v>
      </x:c>
      <x:c r="G139" s="98" t="n">
        <x:v>0.76</x:v>
      </x:c>
      <x:c r="H139" s="98" t="n">
        <x:v>0.5</x:v>
      </x:c>
      <x:c r="I139" s="98" t="n">
        <x:v>0.52</x:v>
      </x:c>
      <x:c r="J139" s="98" t="n">
        <x:v>0.3490683229813665</x:v>
      </x:c>
      <x:c r="K139" s="90" t="n">
        <x:v>2</x:v>
      </x:c>
      <x:c r="L139" s="90" t="str">
        <x:v>A</x:v>
      </x:c>
      <x:c r="M139" s="90" t="str">
        <x:v>Global Technology / Data Analyst Summer Analyst</x:v>
      </x:c>
      <x:c r="N139" s="90" t="str">
        <x:v>Data Analytics</x:v>
      </x:c>
      <x:c r="O139" s="90" t="str">
        <x:v>Three analytics internships plus SQL, Python, Tableau, forecasting and segmentation directly match the lane.</x:v>
      </x:c>
      <x:c r="P139" s="90" t="str">
        <x:v>CPT/future-sponsorship wording must be verified; 3.31 GPA may sit below a preferred threshold; LinkedIn network evidence pending</x:v>
      </x:c>
    </x:row>
    <x:row r="140" ht="46" customHeight="1">
      <x:c r="A140" s="90" t="str">
        <x:v>Unilever</x:v>
      </x:c>
      <x:c r="B140" s="98" t="n">
        <x:v>0.62</x:v>
      </x:c>
      <x:c r="C140" s="98" t="n">
        <x:v>0.8339223481684617</x:v>
      </x:c>
      <x:c r="D140" s="98" t="n">
        <x:v>0.5461489877897451</x:v>
      </x:c>
      <x:c r="E140" s="98" t="n">
        <x:v>0.545</x:v>
      </x:c>
      <x:c r="F140" s="98" t="n">
        <x:v>0.5</x:v>
      </x:c>
      <x:c r="G140" s="98" t="n">
        <x:v>0.28</x:v>
      </x:c>
      <x:c r="H140" s="98" t="n">
        <x:v>0.5</x:v>
      </x:c>
      <x:c r="I140" s="98" t="n">
        <x:v>0.76</x:v>
      </x:c>
      <x:c r="J140" s="98" t="n">
        <x:v>0.826086956521739</x:v>
      </x:c>
      <x:c r="K140" s="90" t="n">
        <x:v>0</x:v>
      </x:c>
      <x:c r="L140" s="90" t="str">
        <x:v>D</x:v>
      </x:c>
      <x:c r="M140" s="90" t="str">
        <x:v>Data Science Intern</x:v>
      </x:c>
      <x:c r="N140" s="90" t="str">
        <x:v>Data Science</x:v>
      </x:c>
      <x:c r="O140" s="90" t="str">
        <x:v>ALSAC data science, propensity modeling, DataRobot, Python/SQL and ML research form a clear progression.</x:v>
      </x:c>
      <x:c r="P140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41" ht="46" customHeight="1">
      <x:c r="A141" s="90" t="str">
        <x:v>Wells Fargo</x:v>
      </x:c>
      <x:c r="B141" s="98" t="n">
        <x:v>0.62</x:v>
      </x:c>
      <x:c r="C141" s="98" t="n">
        <x:v>0.8531731741295348</x:v>
      </x:c>
      <x:c r="D141" s="98" t="n">
        <x:v>0.6744878275302322</x:v>
      </x:c>
      <x:c r="E141" s="98" t="n">
        <x:v>0.545</x:v>
      </x:c>
      <x:c r="F141" s="98" t="n">
        <x:v>0.5</x:v>
      </x:c>
      <x:c r="G141" s="98" t="n">
        <x:v>0.76</x:v>
      </x:c>
      <x:c r="H141" s="98" t="n">
        <x:v>0.5</x:v>
      </x:c>
      <x:c r="I141" s="98" t="n">
        <x:v>0.64</x:v>
      </x:c>
      <x:c r="J141" s="98" t="n">
        <x:v>0.324223602484472</x:v>
      </x:c>
      <x:c r="K141" s="90" t="n">
        <x:v>0</x:v>
      </x:c>
      <x:c r="L141" s="90" t="str">
        <x:v>D</x:v>
      </x:c>
      <x:c r="M141" s="90" t="str">
        <x:v>Data Science / Analytics Intern</x:v>
      </x:c>
      <x:c r="N141" s="90" t="str">
        <x:v>Data Science</x:v>
      </x:c>
      <x:c r="O141" s="90" t="str">
        <x:v>ALSAC data science, propensity modeling, DataRobot, Python/SQL and ML research form a clear progression.</x:v>
      </x:c>
      <x:c r="P141" s="90" t="str">
        <x:v>CPT/future-sponsorship wording must be verified; 3.31 GPA may sit below a preferred threshold; Observed roles show graduate-degree skew; No matching public role found in reviewed trackers; LinkedIn network evidence pending</x:v>
      </x:c>
    </x:row>
    <x:row r="142" ht="46" customHeight="1">
      <x:c r="A142" s="90" t="str">
        <x:v>Coca-Cola</x:v>
      </x:c>
      <x:c r="B142" s="98" t="n">
        <x:v>0.62</x:v>
      </x:c>
      <x:c r="C142" s="98" t="n">
        <x:v>0.8339223481684617</x:v>
      </x:c>
      <x:c r="D142" s="98" t="n">
        <x:v>0.5461489877897451</x:v>
      </x:c>
      <x:c r="E142" s="98" t="n">
        <x:v>0.545</x:v>
      </x:c>
      <x:c r="F142" s="98" t="n">
        <x:v>0.5</x:v>
      </x:c>
      <x:c r="G142" s="98" t="n">
        <x:v>0.28</x:v>
      </x:c>
      <x:c r="H142" s="98" t="n">
        <x:v>0.5</x:v>
      </x:c>
      <x:c r="I142" s="98" t="n">
        <x:v>0.76</x:v>
      </x:c>
      <x:c r="J142" s="98" t="n">
        <x:v>0.8360248447204969</x:v>
      </x:c>
      <x:c r="K142" s="90" t="n">
        <x:v>0</x:v>
      </x:c>
      <x:c r="L142" s="90" t="str">
        <x:v>D</x:v>
      </x:c>
      <x:c r="M142" s="90" t="str">
        <x:v>Data Science Intern</x:v>
      </x:c>
      <x:c r="N142" s="90" t="str">
        <x:v>Data Science</x:v>
      </x:c>
      <x:c r="O142" s="90" t="str">
        <x:v>ALSAC data science, propensity modeling, DataRobot, Python/SQL and ML research form a clear progression.</x:v>
      </x:c>
      <x:c r="P142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43" ht="46" customHeight="1">
      <x:c r="A143" s="90" t="str">
        <x:v>Fannie Mae</x:v>
      </x:c>
      <x:c r="B143" s="98" t="n">
        <x:v>0.62</x:v>
      </x:c>
      <x:c r="C143" s="98" t="n">
        <x:v>0.8321340651106073</x:v>
      </x:c>
      <x:c r="D143" s="98" t="n">
        <x:v>0.5342271007373823</x:v>
      </x:c>
      <x:c r="E143" s="98" t="n">
        <x:v>0.545</x:v>
      </x:c>
      <x:c r="F143" s="98" t="n">
        <x:v>0.5</x:v>
      </x:c>
      <x:c r="G143" s="98" t="n">
        <x:v>0.76</x:v>
      </x:c>
      <x:c r="H143" s="98" t="n">
        <x:v>0.5</x:v>
      </x:c>
      <x:c r="I143" s="98" t="n">
        <x:v>0.64</x:v>
      </x:c>
      <x:c r="J143" s="98" t="n">
        <x:v>0.36397515527950314</x:v>
      </x:c>
      <x:c r="K143" s="90" t="n">
        <x:v>0</x:v>
      </x:c>
      <x:c r="L143" s="90" t="str">
        <x:v>D</x:v>
      </x:c>
      <x:c r="M143" s="90" t="str">
        <x:v>Data Science Intern</x:v>
      </x:c>
      <x:c r="N143" s="90" t="str">
        <x:v>Data Science</x:v>
      </x:c>
      <x:c r="O143" s="90" t="str">
        <x:v>ALSAC data science, propensity modeling, DataRobot, Python/SQL and ML research form a clear progression.</x:v>
      </x:c>
      <x:c r="P143" s="90" t="str">
        <x:v>CPT/future-sponsorship wording must be verified; 3.31 GPA may sit below a preferred threshold; Observed roles show graduate-degree skew; No matching public role found in reviewed trackers; LinkedIn network evidence pending</x:v>
      </x:c>
    </x:row>
    <x:row r="144" ht="46" customHeight="1">
      <x:c r="A144" s="90" t="str">
        <x:v>Freddie Mac</x:v>
      </x:c>
      <x:c r="B144" s="98" t="n">
        <x:v>0.62</x:v>
      </x:c>
      <x:c r="C144" s="98" t="n">
        <x:v>0.7988815256888547</x:v>
      </x:c>
      <x:c r="D144" s="98" t="n">
        <x:v>0.312543504592365</x:v>
      </x:c>
      <x:c r="E144" s="98" t="n">
        <x:v>0.545</x:v>
      </x:c>
      <x:c r="F144" s="98" t="n">
        <x:v>0.5</x:v>
      </x:c>
      <x:c r="G144" s="98" t="n">
        <x:v>0.76</x:v>
      </x:c>
      <x:c r="H144" s="98" t="n">
        <x:v>0.5</x:v>
      </x:c>
      <x:c r="I144" s="98" t="n">
        <x:v>0.64</x:v>
      </x:c>
      <x:c r="J144" s="98" t="n">
        <x:v>0.44844720496894414</x:v>
      </x:c>
      <x:c r="K144" s="90" t="n">
        <x:v>0</x:v>
      </x:c>
      <x:c r="L144" s="90" t="str">
        <x:v>D</x:v>
      </x:c>
      <x:c r="M144" s="90" t="str">
        <x:v>Data Science / Quant Intern</x:v>
      </x:c>
      <x:c r="N144" s="90" t="str">
        <x:v>Data Science</x:v>
      </x:c>
      <x:c r="O144" s="90" t="str">
        <x:v>ALSAC data science, propensity modeling, DataRobot, Python/SQL and ML research form a clear progression.</x:v>
      </x:c>
      <x:c r="P144" s="90" t="str">
        <x:v>CPT/future-sponsorship wording must be verified; 3.31 GPA may sit below a preferred threshold; Observed roles show graduate-degree skew; No matching public role found in reviewed trackers; LinkedIn network evidence pending</x:v>
      </x:c>
    </x:row>
    <x:row r="145" ht="46" customHeight="1">
      <x:c r="A145" s="90" t="str">
        <x:v>Mars</x:v>
      </x:c>
      <x:c r="B145" s="98" t="n">
        <x:v>0.62</x:v>
      </x:c>
      <x:c r="C145" s="98" t="n">
        <x:v>0.8339223481684617</x:v>
      </x:c>
      <x:c r="D145" s="98" t="n">
        <x:v>0.5461489877897451</x:v>
      </x:c>
      <x:c r="E145" s="98" t="n">
        <x:v>0.545</x:v>
      </x:c>
      <x:c r="F145" s="98" t="n">
        <x:v>0.5</x:v>
      </x:c>
      <x:c r="G145" s="98" t="n">
        <x:v>0.28</x:v>
      </x:c>
      <x:c r="H145" s="98" t="n">
        <x:v>0.5</x:v>
      </x:c>
      <x:c r="I145" s="98" t="n">
        <x:v>0.76</x:v>
      </x:c>
      <x:c r="J145" s="98" t="n">
        <x:v>0.8111801242236025</x:v>
      </x:c>
      <x:c r="K145" s="90" t="n">
        <x:v>0</x:v>
      </x:c>
      <x:c r="L145" s="90" t="str">
        <x:v>D</x:v>
      </x:c>
      <x:c r="M145" s="90" t="str">
        <x:v>Data Science Intern</x:v>
      </x:c>
      <x:c r="N145" s="90" t="str">
        <x:v>Data Science</x:v>
      </x:c>
      <x:c r="O145" s="90" t="str">
        <x:v>ALSAC data science, propensity modeling, DataRobot, Python/SQL and ML research form a clear progression.</x:v>
      </x:c>
      <x:c r="P145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46" ht="46" customHeight="1">
      <x:c r="A146" s="90" t="str">
        <x:v>HSBC</x:v>
      </x:c>
      <x:c r="B146" s="98" t="n">
        <x:v>0.62</x:v>
      </x:c>
      <x:c r="C146" s="98" t="n">
        <x:v>0.8031599586658544</x:v>
      </x:c>
      <x:c r="D146" s="98" t="n">
        <x:v>0.3677330577723628</x:v>
      </x:c>
      <x:c r="E146" s="98" t="n">
        <x:v>0.635</x:v>
      </x:c>
      <x:c r="F146" s="98" t="n">
        <x:v>0.5</x:v>
      </x:c>
      <x:c r="G146" s="98" t="n">
        <x:v>0.76</x:v>
      </x:c>
      <x:c r="H146" s="98" t="n">
        <x:v>0.5</x:v>
      </x:c>
      <x:c r="I146" s="98" t="n">
        <x:v>0.64</x:v>
      </x:c>
      <x:c r="J146" s="98" t="n">
        <x:v>0.29440993788819875</x:v>
      </x:c>
      <x:c r="K146" s="90" t="n">
        <x:v>0</x:v>
      </x:c>
      <x:c r="L146" s="90" t="str">
        <x:v>D</x:v>
      </x:c>
      <x:c r="M146" s="90" t="str">
        <x:v>Data / Tech Summer Analyst</x:v>
      </x:c>
      <x:c r="N146" s="90" t="str">
        <x:v>Business/Strategy Analytics</x:v>
      </x:c>
      <x:c r="O146" s="90" t="str">
        <x:v>Economics, consumer analytics and Student Leader communication support analytical business decisions.</x:v>
      </x:c>
      <x:c r="P146" s="90" t="str">
        <x:v>CPT/future-sponsorship wording must be verified; 3.31 GPA may sit below a preferred threshold; No matching public role found in reviewed trackers; LinkedIn network evidence pending</x:v>
      </x:c>
    </x:row>
    <x:row r="147" ht="46" customHeight="1">
      <x:c r="A147" s="90" t="str">
        <x:v>Kearney</x:v>
      </x:c>
      <x:c r="B147" s="98" t="n">
        <x:v>0.62</x:v>
      </x:c>
      <x:c r="C147" s="98" t="n">
        <x:v>0.7477959980794615</x:v>
      </x:c>
      <x:c r="D147" s="98" t="n">
        <x:v>0.26530665386307695</x:v>
      </x:c>
      <x:c r="E147" s="98" t="n">
        <x:v>0.599</x:v>
      </x:c>
      <x:c r="F147" s="98" t="n">
        <x:v>0.5</x:v>
      </x:c>
      <x:c r="G147" s="98" t="n">
        <x:v>0.8</x:v>
      </x:c>
      <x:c r="H147" s="98" t="n">
        <x:v>0.5</x:v>
      </x:c>
      <x:c r="I147" s="98" t="n">
        <x:v>0.6799999999999999</x:v>
      </x:c>
      <x:c r="J147" s="98" t="n">
        <x:v>0.43850931677018634</x:v>
      </x:c>
      <x:c r="K147" s="90" t="n">
        <x:v>0</x:v>
      </x:c>
      <x:c r="L147" s="90" t="str">
        <x:v>D</x:v>
      </x:c>
      <x:c r="M147" s="90" t="str">
        <x:v>Business Analyst Intern</x:v>
      </x:c>
      <x:c r="N147" s="90" t="str">
        <x:v>General Consulting</x:v>
      </x:c>
      <x:c r="O147" s="90" t="str">
        <x:v>Economics, research, analytics and leadership support structured problem solving and client communication.</x:v>
      </x:c>
      <x:c r="P147" s="90" t="str">
        <x:v>CPT/future-sponsorship wording must be verified; 3.31 GPA may sit below a preferred threshold; No matching public role found in reviewed trackers; LinkedIn network evidence pending</x:v>
      </x:c>
    </x:row>
    <x:row r="148" ht="46" customHeight="1">
      <x:c r="A148" s="90" t="str">
        <x:v>Booz Allen Hamilton</x:v>
      </x:c>
      <x:c r="B148" s="98" t="n">
        <x:v>0.44000000000000006</x:v>
      </x:c>
      <x:c r="C148" s="98" t="n">
        <x:v>0.8722992592943608</x:v>
      </x:c>
      <x:c r="D148" s="98" t="n">
        <x:v>0.40199506196240536</x:v>
      </x:c>
      <x:c r="E148" s="98" t="n">
        <x:v>0.635</x:v>
      </x:c>
      <x:c r="F148" s="98" t="n">
        <x:v>0.5</x:v>
      </x:c>
      <x:c r="G148" s="98" t="n">
        <x:v>0.8</x:v>
      </x:c>
      <x:c r="H148" s="98" t="n">
        <x:v>0.78</x:v>
      </x:c>
      <x:c r="I148" s="98" t="n">
        <x:v>0.6799999999999999</x:v>
      </x:c>
      <x:c r="J148" s="98" t="n">
        <x:v>0.35403726708074534</x:v>
      </x:c>
      <x:c r="K148" s="90" t="n">
        <x:v>0</x:v>
      </x:c>
      <x:c r="L148" s="90" t="str">
        <x:v>D</x:v>
      </x:c>
      <x:c r="M148" s="90" t="str">
        <x:v>Data Science Intern</x:v>
      </x:c>
      <x:c r="N148" s="90" t="str">
        <x:v>Analytics Consulting</x:v>
      </x:c>
      <x:c r="O148" s="90" t="str">
        <x:v>Technical analytics plus economics, research and residential leadership support client-facing analytical work. The Virginia/VT pipeline adds practical recruiting access.</x:v>
      </x:c>
      <x:c r="P148" s="90" t="str">
        <x:v>High work-authorization risk; 3.31 GPA may sit below a preferred threshold; No matching public role found in reviewed trackers</x:v>
      </x:c>
    </x:row>
    <x:row r="149" ht="46" customHeight="1">
      <x:c r="A149" s="90" t="str">
        <x:v>PwC</x:v>
      </x:c>
      <x:c r="B149" s="98" t="n">
        <x:v>0.5599999999999999</x:v>
      </x:c>
      <x:c r="C149" s="98" t="n">
        <x:v>0.8170736265877783</x:v>
      </x:c>
      <x:c r="D149" s="98" t="n">
        <x:v>0.1671575105851882</x:v>
      </x:c>
      <x:c r="E149" s="98" t="n">
        <x:v>0.6331509291233981</x:v>
      </x:c>
      <x:c r="F149" s="98" t="n">
        <x:v>0.75</x:v>
      </x:c>
      <x:c r="G149" s="98" t="n">
        <x:v>0.8</x:v>
      </x:c>
      <x:c r="H149" s="98" t="n">
        <x:v>0.5</x:v>
      </x:c>
      <x:c r="I149" s="98" t="n">
        <x:v>0.6799999999999999</x:v>
      </x:c>
      <x:c r="J149" s="98" t="n">
        <x:v>0.35900621118012427</x:v>
      </x:c>
      <x:c r="K149" s="90" t="n">
        <x:v>1</x:v>
      </x:c>
      <x:c r="L149" s="90" t="str">
        <x:v>C</x:v>
      </x:c>
      <x:c r="M149" s="90" t="str">
        <x:v>Data &amp; Analytics Intern</x:v>
      </x:c>
      <x:c r="N149" s="90" t="str">
        <x:v>Analytics Consulting</x:v>
      </x:c>
      <x:c r="O149" s="90" t="str">
        <x:v>Technical analytics plus economics, research and residential leadership support client-facing analytical work.</x:v>
      </x:c>
      <x:c r="P149" s="90" t="str">
        <x:v>CPT/future-sponsorship wording must be verified; 3.31 GPA may sit below a preferred threshold; LinkedIn network evidence pending</x:v>
      </x:c>
    </x:row>
    <x:row r="150" ht="46" customHeight="1">
      <x:c r="A150" s="90" t="str">
        <x:v>State Street</x:v>
      </x:c>
      <x:c r="B150" s="98" t="n">
        <x:v>0.62</x:v>
      </x:c>
      <x:c r="C150" s="98" t="n">
        <x:v>0.7350000000000001</x:v>
      </x:c>
      <x:c r="D150" s="98" t="n">
        <x:v>0</x:v>
      </x:c>
      <x:c r="E150" s="98" t="n">
        <x:v>0.7575213689137908</x:v>
      </x:c>
      <x:c r="F150" s="98" t="n">
        <x:v>0.7499999999999999</x:v>
      </x:c>
      <x:c r="G150" s="98" t="n">
        <x:v>0.76</x:v>
      </x:c>
      <x:c r="H150" s="98" t="n">
        <x:v>0.5</x:v>
      </x:c>
      <x:c r="I150" s="98" t="n">
        <x:v>0.64</x:v>
      </x:c>
      <x:c r="J150" s="98" t="n">
        <x:v>0.30434782608695654</x:v>
      </x:c>
      <x:c r="K150" s="90" t="n">
        <x:v>3</x:v>
      </x:c>
      <x:c r="L150" s="90" t="str">
        <x:v>B</x:v>
      </x:c>
      <x:c r="M150" s="90" t="str">
        <x:v>Data / Quant Intern</x:v>
      </x:c>
      <x:c r="N150" s="90" t="str">
        <x:v>Data/Analytics</x:v>
      </x:c>
      <x:c r="O150" s="90" t="str">
        <x:v>ALSAC, Mankind and Kajaria provide a three-internship analytics progression before junior year.</x:v>
      </x:c>
      <x:c r="P150" s="90" t="str">
        <x:v>CPT/future-sponsorship wording must be verified; 3.31 GPA may sit below a preferred threshold; LinkedIn network evidence pending</x:v>
      </x:c>
    </x:row>
    <x:row r="151" ht="46" customHeight="1">
      <x:c r="A151" s="90" t="str">
        <x:v>BNP Paribas</x:v>
      </x:c>
      <x:c r="B151" s="98" t="n">
        <x:v>0.62</x:v>
      </x:c>
      <x:c r="C151" s="98" t="n">
        <x:v>0.7881153198311313</x:v>
      </x:c>
      <x:c r="D151" s="98" t="n">
        <x:v>0.26743546554087455</x:v>
      </x:c>
      <x:c r="E151" s="98" t="n">
        <x:v>0.635</x:v>
      </x:c>
      <x:c r="F151" s="98" t="n">
        <x:v>0.5</x:v>
      </x:c>
      <x:c r="G151" s="98" t="n">
        <x:v>0.76</x:v>
      </x:c>
      <x:c r="H151" s="98" t="n">
        <x:v>0.5</x:v>
      </x:c>
      <x:c r="I151" s="98" t="n">
        <x:v>0.64</x:v>
      </x:c>
      <x:c r="J151" s="98" t="n">
        <x:v>0.29937888198757767</x:v>
      </x:c>
      <x:c r="K151" s="90" t="n">
        <x:v>0</x:v>
      </x:c>
      <x:c r="L151" s="90" t="str">
        <x:v>D</x:v>
      </x:c>
      <x:c r="M151" s="90" t="str">
        <x:v>Data / Quant Summer Analyst</x:v>
      </x:c>
      <x:c r="N151" s="90" t="str">
        <x:v>Business/Strategy Analytics</x:v>
      </x:c>
      <x:c r="O151" s="90" t="str">
        <x:v>Economics, consumer analytics and Student Leader communication support analytical business decisions.</x:v>
      </x:c>
      <x:c r="P151" s="90" t="str">
        <x:v>CPT/future-sponsorship wording must be verified; 3.31 GPA may sit below a preferred threshold; No matching public role found in reviewed trackers; LinkedIn network evidence pending</x:v>
      </x:c>
    </x:row>
    <x:row r="152" ht="46" customHeight="1">
      <x:c r="A152" s="90" t="str">
        <x:v>Humana</x:v>
      </x:c>
      <x:c r="B152" s="98" t="n">
        <x:v>0.62</x:v>
      </x:c>
      <x:c r="C152" s="98" t="n">
        <x:v>0.9069999940797153</x:v>
      </x:c>
      <x:c r="D152" s="98" t="n">
        <x:v>0.9999999605314358</x:v>
      </x:c>
      <x:c r="E152" s="98" t="n">
        <x:v>0.545</x:v>
      </x:c>
      <x:c r="F152" s="98" t="n">
        <x:v>0.5</x:v>
      </x:c>
      <x:c r="G152" s="98" t="n">
        <x:v>0.28</x:v>
      </x:c>
      <x:c r="H152" s="98" t="n">
        <x:v>0.5</x:v>
      </x:c>
      <x:c r="I152" s="98" t="n">
        <x:v>0.76</x:v>
      </x:c>
      <x:c r="J152" s="98" t="n">
        <x:v>0.5527950310559007</x:v>
      </x:c>
      <x:c r="K152" s="90" t="n">
        <x:v>0</x:v>
      </x:c>
      <x:c r="L152" s="90" t="str">
        <x:v>D</x:v>
      </x:c>
      <x:c r="M152" s="90" t="str">
        <x:v>Data Science Intern</x:v>
      </x:c>
      <x:c r="N152" s="90" t="str">
        <x:v>Data Science</x:v>
      </x:c>
      <x:c r="O152" s="90" t="str">
        <x:v>ALSAC data science, propensity modeling, DataRobot, Python/SQL and ML research form a clear progression.</x:v>
      </x:c>
      <x:c r="P152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53" ht="46" customHeight="1">
      <x:c r="A153" s="90" t="str">
        <x:v>UnitedHealth Group / Optum</x:v>
      </x:c>
      <x:c r="B153" s="98" t="n">
        <x:v>0.62</x:v>
      </x:c>
      <x:c r="C153" s="98" t="n">
        <x:v>0.9069999940797153</x:v>
      </x:c>
      <x:c r="D153" s="98" t="n">
        <x:v>0.9999999605314358</x:v>
      </x:c>
      <x:c r="E153" s="98" t="n">
        <x:v>0.545</x:v>
      </x:c>
      <x:c r="F153" s="98" t="n">
        <x:v>0.5</x:v>
      </x:c>
      <x:c r="G153" s="98" t="n">
        <x:v>0.28</x:v>
      </x:c>
      <x:c r="H153" s="98" t="n">
        <x:v>0.5</x:v>
      </x:c>
      <x:c r="I153" s="98" t="n">
        <x:v>0.76</x:v>
      </x:c>
      <x:c r="J153" s="98" t="n">
        <x:v>0.5577639751552794</x:v>
      </x:c>
      <x:c r="K153" s="90" t="n">
        <x:v>0</x:v>
      </x:c>
      <x:c r="L153" s="90" t="str">
        <x:v>D</x:v>
      </x:c>
      <x:c r="M153" s="90" t="str">
        <x:v>Data Science Intern</x:v>
      </x:c>
      <x:c r="N153" s="90" t="str">
        <x:v>Data Science</x:v>
      </x:c>
      <x:c r="O153" s="90" t="str">
        <x:v>ALSAC data science, propensity modeling, DataRobot, Python/SQL and ML research form a clear progression.</x:v>
      </x:c>
      <x:c r="P153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54" ht="46" customHeight="1">
      <x:c r="A154" s="90" t="str">
        <x:v>RBC Capital Markets</x:v>
      </x:c>
      <x:c r="B154" s="98" t="n">
        <x:v>0.62</x:v>
      </x:c>
      <x:c r="C154" s="98" t="n">
        <x:v>0.7864283456515395</x:v>
      </x:c>
      <x:c r="D154" s="98" t="n">
        <x:v>0.25618897101026267</x:v>
      </x:c>
      <x:c r="E154" s="98" t="n">
        <x:v>0.635</x:v>
      </x:c>
      <x:c r="F154" s="98" t="n">
        <x:v>0.5</x:v>
      </x:c>
      <x:c r="G154" s="98" t="n">
        <x:v>0.76</x:v>
      </x:c>
      <x:c r="H154" s="98" t="n">
        <x:v>0.5</x:v>
      </x:c>
      <x:c r="I154" s="98" t="n">
        <x:v>0.64</x:v>
      </x:c>
      <x:c r="J154" s="98" t="n">
        <x:v>0.2894409937888199</x:v>
      </x:c>
      <x:c r="K154" s="90" t="n">
        <x:v>0</x:v>
      </x:c>
      <x:c r="L154" s="90" t="str">
        <x:v>D</x:v>
      </x:c>
      <x:c r="M154" s="90" t="str">
        <x:v>Quant / Data Summer Analyst</x:v>
      </x:c>
      <x:c r="N154" s="90" t="str">
        <x:v>Business/Strategy Analytics</x:v>
      </x:c>
      <x:c r="O154" s="90" t="str">
        <x:v>Economics, consumer analytics and Student Leader communication support analytical business decisions.</x:v>
      </x:c>
      <x:c r="P154" s="90" t="str">
        <x:v>CPT/future-sponsorship wording must be verified; 3.31 GPA may sit below a preferred threshold; No matching public role found in reviewed trackers; LinkedIn network evidence pending</x:v>
      </x:c>
    </x:row>
    <x:row r="155" ht="46" customHeight="1">
      <x:c r="A155" s="90" t="str">
        <x:v>Regeneron</x:v>
      </x:c>
      <x:c r="B155" s="98" t="n">
        <x:v>0.62</x:v>
      </x:c>
      <x:c r="C155" s="98" t="n">
        <x:v>0.8709499858336214</x:v>
      </x:c>
      <x:c r="D155" s="98" t="n">
        <x:v>0.7596665722241431</x:v>
      </x:c>
      <x:c r="E155" s="98" t="n">
        <x:v>0.545</x:v>
      </x:c>
      <x:c r="F155" s="98" t="n">
        <x:v>0.5</x:v>
      </x:c>
      <x:c r="G155" s="98" t="n">
        <x:v>0.28</x:v>
      </x:c>
      <x:c r="H155" s="98" t="n">
        <x:v>0.5</x:v>
      </x:c>
      <x:c r="I155" s="98" t="n">
        <x:v>0.76</x:v>
      </x:c>
      <x:c r="J155" s="98" t="n">
        <x:v>0.5627329192546584</x:v>
      </x:c>
      <x:c r="K155" s="90" t="n">
        <x:v>0</x:v>
      </x:c>
      <x:c r="L155" s="90" t="str">
        <x:v>D</x:v>
      </x:c>
      <x:c r="M155" s="90" t="str">
        <x:v>Data Science Intern</x:v>
      </x:c>
      <x:c r="N155" s="90" t="str">
        <x:v>Data Science</x:v>
      </x:c>
      <x:c r="O155" s="90" t="str">
        <x:v>ALSAC data science, propensity modeling, DataRobot, Python/SQL and ML research form a clear progression.</x:v>
      </x:c>
      <x:c r="P155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56" ht="46" customHeight="1">
      <x:c r="A156" s="90" t="str">
        <x:v>Home Depot</x:v>
      </x:c>
      <x:c r="B156" s="98" t="n">
        <x:v>0.62</x:v>
      </x:c>
      <x:c r="C156" s="98" t="n">
        <x:v>0.8205740574247681</x:v>
      </x:c>
      <x:c r="D156" s="98" t="n">
        <x:v>0.4571603828317872</x:v>
      </x:c>
      <x:c r="E156" s="98" t="n">
        <x:v>0.545</x:v>
      </x:c>
      <x:c r="F156" s="98" t="n">
        <x:v>0.5</x:v>
      </x:c>
      <x:c r="G156" s="98" t="n">
        <x:v>0.28</x:v>
      </x:c>
      <x:c r="H156" s="98" t="n">
        <x:v>0.5</x:v>
      </x:c>
      <x:c r="I156" s="98" t="n">
        <x:v>0.76</x:v>
      </x:c>
      <x:c r="J156" s="98" t="n">
        <x:v>0.6173913043478261</x:v>
      </x:c>
      <x:c r="K156" s="90" t="n">
        <x:v>0</x:v>
      </x:c>
      <x:c r="L156" s="90" t="str">
        <x:v>D</x:v>
      </x:c>
      <x:c r="M156" s="90" t="str">
        <x:v>Data Science Intern</x:v>
      </x:c>
      <x:c r="N156" s="90" t="str">
        <x:v>Data Science</x:v>
      </x:c>
      <x:c r="O156" s="90" t="str">
        <x:v>ALSAC data science, propensity modeling, DataRobot, Python/SQL and ML research form a clear progression.</x:v>
      </x:c>
      <x:c r="P156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57" ht="46" customHeight="1">
      <x:c r="A157" s="90" t="str">
        <x:v>Costco</x:v>
      </x:c>
      <x:c r="B157" s="98" t="n">
        <x:v>0.62</x:v>
      </x:c>
      <x:c r="C157" s="98" t="n">
        <x:v>0.8414081300976815</x:v>
      </x:c>
      <x:c r="D157" s="98" t="n">
        <x:v>0.59605420065121</x:v>
      </x:c>
      <x:c r="E157" s="98" t="n">
        <x:v>0.545</x:v>
      </x:c>
      <x:c r="F157" s="98" t="n">
        <x:v>0.5</x:v>
      </x:c>
      <x:c r="G157" s="98" t="n">
        <x:v>0.28</x:v>
      </x:c>
      <x:c r="H157" s="98" t="n">
        <x:v>0.5</x:v>
      </x:c>
      <x:c r="I157" s="98" t="n">
        <x:v>0.76</x:v>
      </x:c>
      <x:c r="J157" s="98" t="n">
        <x:v>0.5428571428571429</x:v>
      </x:c>
      <x:c r="K157" s="90" t="n">
        <x:v>0</x:v>
      </x:c>
      <x:c r="L157" s="90" t="str">
        <x:v>D</x:v>
      </x:c>
      <x:c r="M157" s="90" t="str">
        <x:v>Data Science / Analytics Intern</x:v>
      </x:c>
      <x:c r="N157" s="90" t="str">
        <x:v>Data Science</x:v>
      </x:c>
      <x:c r="O157" s="90" t="str">
        <x:v>ALSAC data science, propensity modeling, DataRobot, Python/SQL and ML research form a clear progression.</x:v>
      </x:c>
      <x:c r="P157" s="90" t="str">
        <x:v>CPT/future-sponsorship wording must be verified; Observed roles show graduate-degree skew; Low personal industry preference; No matching public role found in reviewed trackers; LinkedIn network evidence pending</x:v>
      </x:c>
    </x:row>
    <x:row r="158" ht="46" customHeight="1">
      <x:c r="A158" s="90" t="str">
        <x:v>Fidelity</x:v>
      </x:c>
      <x:c r="B158" s="98" t="n">
        <x:v>0.27999999999999997</x:v>
      </x:c>
      <x:c r="C158" s="98" t="n">
        <x:v>0.8321340651106073</x:v>
      </x:c>
      <x:c r="D158" s="98" t="n">
        <x:v>0.5342271007373823</x:v>
      </x:c>
      <x:c r="E158" s="98" t="n">
        <x:v>0.545</x:v>
      </x:c>
      <x:c r="F158" s="98" t="n">
        <x:v>0.5</x:v>
      </x:c>
      <x:c r="G158" s="98" t="n">
        <x:v>0.76</x:v>
      </x:c>
      <x:c r="H158" s="98" t="n">
        <x:v>0.5</x:v>
      </x:c>
      <x:c r="I158" s="98" t="n">
        <x:v>0.64</x:v>
      </x:c>
      <x:c r="J158" s="98" t="n">
        <x:v>0.2496894409937888</x:v>
      </x:c>
      <x:c r="K158" s="90" t="n">
        <x:v>0</x:v>
      </x:c>
      <x:c r="L158" s="90" t="str">
        <x:v>D</x:v>
      </x:c>
      <x:c r="M158" s="90" t="str">
        <x:v>Data Science Intern</x:v>
      </x:c>
      <x:c r="N158" s="90" t="str">
        <x:v>Data Science</x:v>
      </x:c>
      <x:c r="O158" s="90" t="str">
        <x:v>ALSAC data science, propensity modeling, DataRobot, Python/SQL and ML research form a clear progression.</x:v>
      </x:c>
      <x:c r="P158" s="90" t="str">
        <x:v>High work-authorization risk; 3.31 GPA may sit below a preferred threshold; Observed roles show graduate-degree skew; No matching public role found in reviewed trackers; LinkedIn network evidence pending</x:v>
      </x:c>
    </x:row>
    <x:row r="159" ht="46" customHeight="1">
      <x:c r="A159" s="90" t="str">
        <x:v>Vanguard</x:v>
      </x:c>
      <x:c r="B159" s="98" t="n">
        <x:v>0.27999999999999997</x:v>
      </x:c>
      <x:c r="C159" s="98" t="n">
        <x:v>0.8321340651106073</x:v>
      </x:c>
      <x:c r="D159" s="98" t="n">
        <x:v>0.5342271007373823</x:v>
      </x:c>
      <x:c r="E159" s="98" t="n">
        <x:v>0.545</x:v>
      </x:c>
      <x:c r="F159" s="98" t="n">
        <x:v>0.5</x:v>
      </x:c>
      <x:c r="G159" s="98" t="n">
        <x:v>0.76</x:v>
      </x:c>
      <x:c r="H159" s="98" t="n">
        <x:v>0.5</x:v>
      </x:c>
      <x:c r="I159" s="98" t="n">
        <x:v>0.64</x:v>
      </x:c>
      <x:c r="J159" s="98" t="n">
        <x:v>0.24472049689440994</x:v>
      </x:c>
      <x:c r="K159" s="90" t="n">
        <x:v>0</x:v>
      </x:c>
      <x:c r="L159" s="90" t="str">
        <x:v>D</x:v>
      </x:c>
      <x:c r="M159" s="90" t="str">
        <x:v>Data Science Intern</x:v>
      </x:c>
      <x:c r="N159" s="90" t="str">
        <x:v>Data Science</x:v>
      </x:c>
      <x:c r="O159" s="90" t="str">
        <x:v>ALSAC data science, propensity modeling, DataRobot, Python/SQL and ML research form a clear progression.</x:v>
      </x:c>
      <x:c r="P159" s="90" t="str">
        <x:v>High work-authorization risk; 3.31 GPA may sit below a preferred threshold; Observed roles show graduate-degree skew; No matching public role found in reviewed trackers; LinkedIn network evidence pending</x:v>
      </x:c>
    </x:row>
    <x:row r="160" ht="46" customHeight="1">
      <x:c r="A160" s="90" t="str">
        <x:v>Procter &amp; Gamble</x:v>
      </x:c>
      <x:c r="B160" s="98" t="n">
        <x:v>0.27999999999999997</x:v>
      </x:c>
      <x:c r="C160" s="98" t="n">
        <x:v>0.8339223481684617</x:v>
      </x:c>
      <x:c r="D160" s="98" t="n">
        <x:v>0.5461489877897451</x:v>
      </x:c>
      <x:c r="E160" s="98" t="n">
        <x:v>0.545</x:v>
      </x:c>
      <x:c r="F160" s="98" t="n">
        <x:v>0.5</x:v>
      </x:c>
      <x:c r="G160" s="98" t="n">
        <x:v>0.28</x:v>
      </x:c>
      <x:c r="H160" s="98" t="n">
        <x:v>0.5</x:v>
      </x:c>
      <x:c r="I160" s="98" t="n">
        <x:v>0.76</x:v>
      </x:c>
      <x:c r="J160" s="98" t="n">
        <x:v>0.3739130434782608</x:v>
      </x:c>
      <x:c r="K160" s="90" t="n">
        <x:v>0</x:v>
      </x:c>
      <x:c r="L160" s="90" t="str">
        <x:v>D</x:v>
      </x:c>
      <x:c r="M160" s="90" t="str">
        <x:v>Data Science Intern</x:v>
      </x:c>
      <x:c r="N160" s="90" t="str">
        <x:v>Data Science</x:v>
      </x:c>
      <x:c r="O160" s="90" t="str">
        <x:v>ALSAC data science, propensity modeling, DataRobot, Python/SQL and ML research form a clear progression.</x:v>
      </x:c>
      <x:c r="P160" s="90" t="str">
        <x:v>High work-authorization risk; Observed roles show graduate-degree skew; Low personal industry preference; No matching public role found in reviewed trackers; LinkedIn network evidence pending</x:v>
      </x:c>
    </x:row>
    <x:row r="161" ht="46" customHeight="1">
      <x:c r="A161" s="91" t="str">
        <x:v>Target</x:v>
      </x:c>
      <x:c r="B161" s="99" t="n">
        <x:v>0.27999999999999997</x:v>
      </x:c>
      <x:c r="C161" s="99" t="n">
        <x:v>0.8205740574247681</x:v>
      </x:c>
      <x:c r="D161" s="99" t="n">
        <x:v>0.4571603828317872</x:v>
      </x:c>
      <x:c r="E161" s="99" t="n">
        <x:v>0.545</x:v>
      </x:c>
      <x:c r="F161" s="99" t="n">
        <x:v>0.5</x:v>
      </x:c>
      <x:c r="G161" s="99" t="n">
        <x:v>0.28</x:v>
      </x:c>
      <x:c r="H161" s="99" t="n">
        <x:v>0.5</x:v>
      </x:c>
      <x:c r="I161" s="99" t="n">
        <x:v>0.76</x:v>
      </x:c>
      <x:c r="J161" s="99" t="n">
        <x:v>0.37888198757763975</x:v>
      </x:c>
      <x:c r="K161" s="91" t="n">
        <x:v>0</x:v>
      </x:c>
      <x:c r="L161" s="91" t="str">
        <x:v>D</x:v>
      </x:c>
      <x:c r="M161" s="91" t="str">
        <x:v>Data Science Intern</x:v>
      </x:c>
      <x:c r="N161" s="91" t="str">
        <x:v>Data Science</x:v>
      </x:c>
      <x:c r="O161" s="91" t="str">
        <x:v>ALSAC data science, propensity modeling, DataRobot, Python/SQL and ML research form a clear progression.</x:v>
      </x:c>
      <x:c r="P161" s="91" t="str">
        <x:v>High work-authorization risk; Observed roles show graduate-degree skew; Low personal industry preference; No matching public role found in reviewed trackers; LinkedIn network evidence pending</x:v>
      </x:c>
    </x:row>
  </x:sheetData>
  <x:mergeCells>
    <x:mergeCell ref="A1:P1"/>
    <x:mergeCell ref="A2:P2"/>
  </x:mergeCells>
  <x:pageMargins left="0.7" right="0.7" top="0.75" bottom="0.75" header="0.3" footer="0.3"/>
  <x:tableParts count="1">
    <x:tablePart xmlns:r="http://schemas.openxmlformats.org/officeDocument/2006/relationships" r:id="R53ef718d4dc84a1f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10" hidden="0" customWidth="1"/>
    <x:col min="3" max="3" width="55" hidden="0" customWidth="1"/>
    <x:col min="4" max="4" width="22" hidden="0" customWidth="1"/>
    <x:col min="5" max="5" width="14" hidden="0" customWidth="1"/>
    <x:col min="6" max="6" width="31" hidden="0" customWidth="1"/>
    <x:col min="7" max="7" width="64" hidden="0" customWidth="1"/>
    <x:col min="8" max="8" width="88" hidden="0" customWidth="1"/>
  </x:cols>
  <x:sheetData>
    <x:row r="1" ht="34" customHeight="1">
      <x:c r="A1" s="4" t="str">
        <x:v>Observed 2025–2027 Role Evidence</x:v>
      </x:c>
      <x:c r="B1" s="4"/>
      <x:c r="C1" s="4"/>
      <x:c r="D1" s="4"/>
      <x:c r="E1" s="4"/>
      <x:c r="F1" s="4"/>
      <x:c r="G1" s="4"/>
      <x:c r="H1" s="4"/>
      <x:c r="I1" s="4"/>
    </x:row>
    <x:row r="2" ht="29" customHeight="1">
      <x:c r="A2" s="11" t="str">
        <x:v>Public trackers are incomplete and tech-heavy. Absence is never treated as proof that a company did not hire.</x:v>
      </x:c>
      <x:c r="B2" s="11"/>
      <x:c r="C2" s="11"/>
      <x:c r="D2" s="11"/>
      <x:c r="E2" s="11"/>
      <x:c r="F2" s="11"/>
      <x:c r="G2" s="11"/>
      <x:c r="H2" s="11"/>
      <x:c r="I2" s="11"/>
    </x:row>
    <x:row r="4" ht="32" customHeight="1">
      <x:c r="A4" s="79" t="str">
        <x:v>Company</x:v>
      </x:c>
      <x:c r="B4" s="79" t="str">
        <x:v>Year</x:v>
      </x:c>
      <x:c r="C4" s="79" t="str">
        <x:v>Observed role</x:v>
      </x:c>
      <x:c r="D4" s="79" t="str">
        <x:v>Education access</x:v>
      </x:c>
      <x:c r="E4" s="79" t="str">
        <x:v>Relevance</x:v>
      </x:c>
      <x:c r="F4" s="79" t="str">
        <x:v>Model use</x:v>
      </x:c>
      <x:c r="G4" s="79" t="str">
        <x:v>Notes</x:v>
      </x:c>
      <x:c r="H4" s="79" t="str">
        <x:v>Source URL</x:v>
      </x:c>
    </x:row>
    <x:row r="5" ht="48" customHeight="1">
      <x:c r="A5" s="90" t="str">
        <x:v>ALSAC / St. Jude</x:v>
      </x:c>
      <x:c r="B5" s="90" t="n">
        <x:v>2026</x:v>
      </x:c>
      <x:c r="C5" s="90" t="str">
        <x:v>Data Science Intern</x:v>
      </x:c>
      <x:c r="D5" s="90" t="str">
        <x:v>undergrad</x:v>
      </x:c>
      <x:c r="E5" s="90" t="str">
        <x:v>exact</x:v>
      </x:c>
      <x:c r="F5" s="90" t="str">
        <x:v>Positive opportunity evidence</x:v>
      </x:c>
      <x:c r="G5" s="90" t="str">
        <x:v>Directly matches Ahaan's current internship.</x:v>
      </x:c>
      <x:c r="H5" s="90" t="str">
        <x:v>https://raw.githubusercontent.com/SimplifyJobs/Summer2026-Internships/refs/heads/dev/README-Inactive.md</x:v>
      </x:c>
    </x:row>
    <x:row r="6" ht="48" customHeight="1">
      <x:c r="A6" s="90" t="str">
        <x:v>Adobe</x:v>
      </x:c>
      <x:c r="B6" s="90" t="n">
        <x:v>2026</x:v>
      </x:c>
      <x:c r="C6" s="90" t="str">
        <x:v>AI/ML Intern – Machine Learning Engineer</x:v>
      </x:c>
      <x:c r="D6" s="90" t="str">
        <x:v>undergrad_unknown</x:v>
      </x:c>
      <x:c r="E6" s="90" t="str">
        <x:v>adjacent</x:v>
      </x:c>
      <x:c r="F6" s="90" t="str">
        <x:v>Partial opportunity evidence</x:v>
      </x:c>
      <x:c r="G6" s="90" t="str"/>
      <x:c r="H6" s="90" t="str">
        <x:v>https://raw.githubusercontent.com/SimplifyJobs/Summer2026-Internships/refs/heads/dev/README-Inactive.md</x:v>
      </x:c>
    </x:row>
    <x:row r="7" ht="48" customHeight="1">
      <x:c r="A7" s="90" t="str">
        <x:v>Adobe</x:v>
      </x:c>
      <x:c r="B7" s="90" t="n">
        <x:v>2025</x:v>
      </x:c>
      <x:c r="C7" s="90" t="str">
        <x:v>Data Scientist Intern</x:v>
      </x:c>
      <x:c r="D7" s="90" t="str">
        <x:v>undergrad_unknown</x:v>
      </x:c>
      <x:c r="E7" s="90" t="str">
        <x:v>exact</x:v>
      </x:c>
      <x:c r="F7" s="90" t="str">
        <x:v>Positive opportunity evidence</x:v>
      </x:c>
      <x:c r="G7" s="90" t="str"/>
      <x:c r="H7" s="90" t="str">
        <x:v>https://raw.githubusercontent.com/SimplifyJobs/Summer2026-Internships/refs/heads/dev/archived/README-2025.md</x:v>
      </x:c>
    </x:row>
    <x:row r="8" ht="48" customHeight="1">
      <x:c r="A8" s="90" t="str">
        <x:v>Adobe</x:v>
      </x:c>
      <x:c r="B8" s="90" t="n">
        <x:v>2025</x:v>
      </x:c>
      <x:c r="C8" s="90" t="str">
        <x:v>Emerging Technology Analyst Intern</x:v>
      </x:c>
      <x:c r="D8" s="90" t="str">
        <x:v>undergrad_unknown</x:v>
      </x:c>
      <x:c r="E8" s="90" t="str">
        <x:v>adjacent</x:v>
      </x:c>
      <x:c r="F8" s="90" t="str">
        <x:v>Partial opportunity evidence</x:v>
      </x:c>
      <x:c r="G8" s="90" t="str"/>
      <x:c r="H8" s="90" t="str">
        <x:v>https://raw.githubusercontent.com/SimplifyJobs/Summer2026-Internships/refs/heads/dev/archived/README-2025.md</x:v>
      </x:c>
    </x:row>
    <x:row r="9" ht="48" customHeight="1">
      <x:c r="A9" s="90" t="str">
        <x:v>Airbnb</x:v>
      </x:c>
      <x:c r="B9" s="90" t="n">
        <x:v>2026</x:v>
      </x:c>
      <x:c r="C9" s="90" t="str">
        <x:v>Advanced Analytics Intern</x:v>
      </x:c>
      <x:c r="D9" s="90" t="str">
        <x:v>undergrad_unknown</x:v>
      </x:c>
      <x:c r="E9" s="90" t="str">
        <x:v>exact</x:v>
      </x:c>
      <x:c r="F9" s="90" t="str">
        <x:v>Positive opportunity evidence</x:v>
      </x:c>
      <x:c r="G9" s="90" t="str"/>
      <x:c r="H9" s="90" t="str">
        <x:v>https://raw.githubusercontent.com/SimplifyJobs/Summer2026-Internships/refs/heads/dev/README-Inactive.md</x:v>
      </x:c>
    </x:row>
    <x:row r="10" ht="48" customHeight="1">
      <x:c r="A10" s="90" t="str">
        <x:v>Airbnb</x:v>
      </x:c>
      <x:c r="B10" s="90" t="n">
        <x:v>2026</x:v>
      </x:c>
      <x:c r="C10" s="90" t="str">
        <x:v>Data Science Intern</x:v>
      </x:c>
      <x:c r="D10" s="90" t="str">
        <x:v>undergrad_unknown</x:v>
      </x:c>
      <x:c r="E10" s="90" t="str">
        <x:v>exact</x:v>
      </x:c>
      <x:c r="F10" s="90" t="str">
        <x:v>Positive opportunity evidence</x:v>
      </x:c>
      <x:c r="G10" s="90" t="str"/>
      <x:c r="H10" s="90" t="str">
        <x:v>https://raw.githubusercontent.com/SimplifyJobs/Summer2026-Internships/refs/heads/dev/README-Inactive.md</x:v>
      </x:c>
    </x:row>
    <x:row r="11" ht="48" customHeight="1">
      <x:c r="A11" s="90" t="str">
        <x:v>Amazon</x:v>
      </x:c>
      <x:c r="B11" s="90" t="n">
        <x:v>2027</x:v>
      </x:c>
      <x:c r="C11" s="90" t="str">
        <x:v>Operations Finance Rotational Program Intern</x:v>
      </x:c>
      <x:c r="D11" s="90" t="str">
        <x:v>undergrad</x:v>
      </x:c>
      <x:c r="E11" s="90" t="str">
        <x:v>off_target</x:v>
      </x:c>
      <x:c r="F11" s="90" t="str">
        <x:v>Company remains; role does not count</x:v>
      </x:c>
      <x:c r="G11" s="90" t="str">
        <x:v>Not data analytics; should not affect company negatively.</x:v>
      </x:c>
      <x:c r="H11" s="90" t="str">
        <x:v>https://raw.githubusercontent.com/sndsh404/summer-2027-internships/main/README.md</x:v>
      </x:c>
    </x:row>
    <x:row r="12" ht="48" customHeight="1">
      <x:c r="A12" s="90" t="str">
        <x:v>Amazon</x:v>
      </x:c>
      <x:c r="B12" s="90" t="n">
        <x:v>2026</x:v>
      </x:c>
      <x:c r="C12" s="90" t="str">
        <x:v>Applied Scientist Intern / Co-op</x:v>
      </x:c>
      <x:c r="D12" s="90" t="str">
        <x:v>advanced_unknown</x:v>
      </x:c>
      <x:c r="E12" s="90" t="str">
        <x:v>adjacent</x:v>
      </x:c>
      <x:c r="F12" s="90" t="str">
        <x:v>Partial opportunity evidence</x:v>
      </x:c>
      <x:c r="G12" s="90" t="str"/>
      <x:c r="H12" s="90" t="str">
        <x:v>https://raw.githubusercontent.com/SimplifyJobs/Summer2026-Internships/refs/heads/dev/README-Inactive.md</x:v>
      </x:c>
    </x:row>
    <x:row r="13" ht="48" customHeight="1">
      <x:c r="A13" s="90" t="str">
        <x:v>American Express</x:v>
      </x:c>
      <x:c r="B13" s="90" t="n">
        <x:v>2026</x:v>
      </x:c>
      <x:c r="C13" s="90" t="str">
        <x:v>Campus Undergraduate Intern Program – Data Management – Technology</x:v>
      </x:c>
      <x:c r="D13" s="90" t="str">
        <x:v>undergrad</x:v>
      </x:c>
      <x:c r="E13" s="90" t="str">
        <x:v>exact</x:v>
      </x:c>
      <x:c r="F13" s="90" t="str">
        <x:v>Positive opportunity evidence</x:v>
      </x:c>
      <x:c r="G13" s="90" t="str"/>
      <x:c r="H13" s="90" t="str">
        <x:v>https://raw.githubusercontent.com/SimplifyJobs/Summer2026-Internships/refs/heads/dev/README-Inactive.md</x:v>
      </x:c>
    </x:row>
    <x:row r="14" ht="48" customHeight="1">
      <x:c r="A14" s="90" t="str">
        <x:v>Apple</x:v>
      </x:c>
      <x:c r="B14" s="90" t="n">
        <x:v>2027</x:v>
      </x:c>
      <x:c r="C14" s="90" t="str">
        <x:v>Software Engineer Intern, Undergrad</x:v>
      </x:c>
      <x:c r="D14" s="90" t="str">
        <x:v>undergrad</x:v>
      </x:c>
      <x:c r="E14" s="90" t="str">
        <x:v>off_target</x:v>
      </x:c>
      <x:c r="F14" s="90" t="str">
        <x:v>Company remains; role does not count</x:v>
      </x:c>
      <x:c r="G14" s="90" t="str">
        <x:v>Current role is off-target but company remains.</x:v>
      </x:c>
      <x:c r="H14" s="90" t="str">
        <x:v>https://raw.githubusercontent.com/vanshb03/Summer2027-Internships/dev/README.md</x:v>
      </x:c>
    </x:row>
    <x:row r="15" ht="48" customHeight="1">
      <x:c r="A15" s="90" t="str">
        <x:v>Apple</x:v>
      </x:c>
      <x:c r="B15" s="90" t="n">
        <x:v>2026</x:v>
      </x:c>
      <x:c r="C15" s="90" t="str">
        <x:v>Undergraduate Machine Learning / AI Intern</x:v>
      </x:c>
      <x:c r="D15" s="90" t="str">
        <x:v>undergrad</x:v>
      </x:c>
      <x:c r="E15" s="90" t="str">
        <x:v>adjacent</x:v>
      </x:c>
      <x:c r="F15" s="90" t="str">
        <x:v>Partial opportunity evidence</x:v>
      </x:c>
      <x:c r="G15" s="90" t="str"/>
      <x:c r="H15" s="90" t="str">
        <x:v>https://raw.githubusercontent.com/SimplifyJobs/Summer2026-Internships/refs/heads/dev/README.md</x:v>
      </x:c>
    </x:row>
    <x:row r="16" ht="48" customHeight="1">
      <x:c r="A16" s="90" t="str">
        <x:v>Bank of America</x:v>
      </x:c>
      <x:c r="B16" s="90" t="n">
        <x:v>2027</x:v>
      </x:c>
      <x:c r="C16" s="90" t="str">
        <x:v>Global Technology Business Analyst</x:v>
      </x:c>
      <x:c r="D16" s="90" t="str">
        <x:v>undergrad</x:v>
      </x:c>
      <x:c r="E16" s="90" t="str">
        <x:v>adjacent</x:v>
      </x:c>
      <x:c r="F16" s="90" t="str">
        <x:v>Partial opportunity evidence</x:v>
      </x:c>
      <x:c r="G16" s="90" t="str">
        <x:v>Explicitly unable to consider candidates needing visa sponsorship now or in future for this role.</x:v>
      </x:c>
      <x:c r="H16" s="90" t="str">
        <x:v>https://careers.bankofamerica.com/en-us/students/job-detail/14419/global-technology-summer-analyst-2027-business-analyst-multiple-locations</x:v>
      </x:c>
    </x:row>
    <x:row r="17" ht="48" customHeight="1">
      <x:c r="A17" s="90" t="str">
        <x:v>Bank of America</x:v>
      </x:c>
      <x:c r="B17" s="90" t="n">
        <x:v>2027</x:v>
      </x:c>
      <x:c r="C17" s="90" t="str">
        <x:v>Quantitative Data Analytics Summer Analyst Program</x:v>
      </x:c>
      <x:c r="D17" s="90" t="str">
        <x:v>undergrad</x:v>
      </x:c>
      <x:c r="E17" s="90" t="str">
        <x:v>exact</x:v>
      </x:c>
      <x:c r="F17" s="90" t="str">
        <x:v>Positive opportunity evidence</x:v>
      </x:c>
      <x:c r="G17" s="90" t="str">
        <x:v>Graduation Nov 2027-Aug 2028; economics/data science; Python/SQL/R/Tableau. GPA 3.5 preferred.</x:v>
      </x:c>
      <x:c r="H17" s="90" t="str">
        <x:v>https://careers.bankofamerica.com/en-us/students/job-detail/14420/quantitative-data-analyst-summer-analyst-program-multiple-locations</x:v>
      </x:c>
    </x:row>
    <x:row r="18" ht="48" customHeight="1">
      <x:c r="A18" s="90" t="str">
        <x:v>BlackRock</x:v>
      </x:c>
      <x:c r="B18" s="90" t="n">
        <x:v>2027</x:v>
      </x:c>
      <x:c r="C18" s="90" t="str">
        <x:v>Summer Internship Program – Analytics &amp; Risk / Analytics &amp; Modeling</x:v>
      </x:c>
      <x:c r="D18" s="90" t="str">
        <x:v>undergrad</x:v>
      </x:c>
      <x:c r="E18" s="90" t="str">
        <x:v>exact</x:v>
      </x:c>
      <x:c r="F18" s="90" t="str">
        <x:v>Positive opportunity evidence</x:v>
      </x:c>
      <x:c r="G18" s="90" t="str">
        <x:v>Graduation Sep 2027-Jul 2028; one program and two functions.</x:v>
      </x:c>
      <x:c r="H18" s="90" t="str">
        <x:v>https://careers.blackrock.com/job/new-york/2027-summer-internship-program-amers/45831/90628276544</x:v>
      </x:c>
    </x:row>
    <x:row r="19" ht="48" customHeight="1">
      <x:c r="A19" s="90" t="str">
        <x:v>CVS Health</x:v>
      </x:c>
      <x:c r="B19" s="90" t="n">
        <x:v>2025</x:v>
      </x:c>
      <x:c r="C19" s="90" t="str">
        <x:v>Data Science Undergraduate</x:v>
      </x:c>
      <x:c r="D19" s="90" t="str">
        <x:v>undergrad</x:v>
      </x:c>
      <x:c r="E19" s="90" t="str">
        <x:v>exact</x:v>
      </x:c>
      <x:c r="F19" s="90" t="str">
        <x:v>Positive opportunity evidence</x:v>
      </x:c>
      <x:c r="G19" s="90" t="str"/>
      <x:c r="H19" s="90" t="str">
        <x:v>https://raw.githubusercontent.com/SimplifyJobs/Summer2026-Internships/refs/heads/dev/archived/README-2025.md</x:v>
      </x:c>
    </x:row>
    <x:row r="20" ht="48" customHeight="1">
      <x:c r="A20" s="90" t="str">
        <x:v>Charles River Associates</x:v>
      </x:c>
      <x:c r="B20" s="90" t="n">
        <x:v>2025</x:v>
      </x:c>
      <x:c r="C20" s="90" t="str">
        <x:v>Data Analytics Consulting Analyst/Associate Intern</x:v>
      </x:c>
      <x:c r="D20" s="90" t="str">
        <x:v>undergrad_or_master</x:v>
      </x:c>
      <x:c r="E20" s="90" t="str">
        <x:v>exact</x:v>
      </x:c>
      <x:c r="F20" s="90" t="str">
        <x:v>Positive opportunity evidence</x:v>
      </x:c>
      <x:c r="G20" s="90" t="str"/>
      <x:c r="H20" s="90" t="str">
        <x:v>https://raw.githubusercontent.com/SimplifyJobs/Summer2026-Internships/refs/heads/dev/archived/README-2025.md</x:v>
      </x:c>
    </x:row>
    <x:row r="21" ht="48" customHeight="1">
      <x:c r="A21" s="90" t="str">
        <x:v>Cisco</x:v>
      </x:c>
      <x:c r="B21" s="90" t="n">
        <x:v>2025</x:v>
      </x:c>
      <x:c r="C21" s="90" t="str">
        <x:v>Consulting Engineer Intern</x:v>
      </x:c>
      <x:c r="D21" s="90" t="str">
        <x:v>undergrad_unknown</x:v>
      </x:c>
      <x:c r="E21" s="90" t="str">
        <x:v>adjacent</x:v>
      </x:c>
      <x:c r="F21" s="90" t="str">
        <x:v>Partial opportunity evidence</x:v>
      </x:c>
      <x:c r="G21" s="90" t="str">
        <x:v>Client-facing technical consulting; adjacent rather than direct analytics.</x:v>
      </x:c>
      <x:c r="H21" s="90" t="str">
        <x:v>https://raw.githubusercontent.com/SimplifyJobs/Summer2026-Internships/refs/heads/dev/archived/README-2025.md</x:v>
      </x:c>
    </x:row>
    <x:row r="22" ht="48" customHeight="1">
      <x:c r="A22" s="90" t="str">
        <x:v>Citi</x:v>
      </x:c>
      <x:c r="B22" s="90" t="n">
        <x:v>2027</x:v>
      </x:c>
      <x:c r="C22" s="90" t="str">
        <x:v>Markets Quantitative Analysis Summer Analyst</x:v>
      </x:c>
      <x:c r="D22" s="90" t="str">
        <x:v>undergrad</x:v>
      </x:c>
      <x:c r="E22" s="90" t="str">
        <x:v>off_target</x:v>
      </x:c>
      <x:c r="F22" s="90" t="str">
        <x:v>Company remains; role does not count</x:v>
      </x:c>
      <x:c r="G22" s="90" t="str">
        <x:v>Quant-heavy; excluded from preferred role family.</x:v>
      </x:c>
      <x:c r="H22" s="90" t="str">
        <x:v>https://raw.githubusercontent.com/sndsh404/summer-2027-internships/main/README.md</x:v>
      </x:c>
    </x:row>
    <x:row r="23" ht="48" customHeight="1">
      <x:c r="A23" s="90" t="str">
        <x:v>Coinbase</x:v>
      </x:c>
      <x:c r="B23" s="90" t="n">
        <x:v>2025</x:v>
      </x:c>
      <x:c r="C23" s="90" t="str">
        <x:v>Data Science Intern</x:v>
      </x:c>
      <x:c r="D23" s="90" t="str">
        <x:v>undergrad_unknown</x:v>
      </x:c>
      <x:c r="E23" s="90" t="str">
        <x:v>exact</x:v>
      </x:c>
      <x:c r="F23" s="90" t="str">
        <x:v>Positive opportunity evidence</x:v>
      </x:c>
      <x:c r="G23" s="90" t="str"/>
      <x:c r="H23" s="90" t="str">
        <x:v>https://raw.githubusercontent.com/SimplifyJobs/Summer2026-Internships/refs/heads/dev/archived/README-2025.md</x:v>
      </x:c>
    </x:row>
    <x:row r="24" ht="48" customHeight="1">
      <x:c r="A24" s="90" t="str">
        <x:v>Deloitte</x:v>
      </x:c>
      <x:c r="B24" s="90" t="n">
        <x:v>2026</x:v>
      </x:c>
      <x:c r="C24" s="90" t="str">
        <x:v>Audit &amp; Assurance Intern – Data Science</x:v>
      </x:c>
      <x:c r="D24" s="90" t="str">
        <x:v>undergrad_unknown</x:v>
      </x:c>
      <x:c r="E24" s="90" t="str">
        <x:v>exact</x:v>
      </x:c>
      <x:c r="F24" s="90" t="str">
        <x:v>Positive opportunity evidence</x:v>
      </x:c>
      <x:c r="G24" s="90" t="str"/>
      <x:c r="H24" s="90" t="str">
        <x:v>https://raw.githubusercontent.com/SimplifyJobs/Summer2026-Internships/refs/heads/dev/README-Inactive.md</x:v>
      </x:c>
    </x:row>
    <x:row r="25" ht="48" customHeight="1">
      <x:c r="A25" s="90" t="str">
        <x:v>Expedia Group</x:v>
      </x:c>
      <x:c r="B25" s="90" t="n">
        <x:v>2026</x:v>
      </x:c>
      <x:c r="C25" s="90" t="str">
        <x:v>Machine Learning Science Intern</x:v>
      </x:c>
      <x:c r="D25" s="90" t="str">
        <x:v>masters_or_unknown</x:v>
      </x:c>
      <x:c r="E25" s="90" t="str">
        <x:v>adjacent</x:v>
      </x:c>
      <x:c r="F25" s="90" t="str">
        <x:v>Partial opportunity evidence</x:v>
      </x:c>
      <x:c r="G25" s="90" t="str"/>
      <x:c r="H25" s="90" t="str">
        <x:v>https://raw.githubusercontent.com/SimplifyJobs/Summer2026-Internships/refs/heads/dev/README-Inactive.md</x:v>
      </x:c>
    </x:row>
    <x:row r="26" ht="48" customHeight="1">
      <x:c r="A26" s="90" t="str">
        <x:v>IBM</x:v>
      </x:c>
      <x:c r="B26" s="90" t="n">
        <x:v>2025</x:v>
      </x:c>
      <x:c r="C26" s="90" t="str">
        <x:v>Data and AI Intern</x:v>
      </x:c>
      <x:c r="D26" s="90" t="str">
        <x:v>undergrad_unknown</x:v>
      </x:c>
      <x:c r="E26" s="90" t="str">
        <x:v>exact</x:v>
      </x:c>
      <x:c r="F26" s="90" t="str">
        <x:v>Positive opportunity evidence</x:v>
      </x:c>
      <x:c r="G26" s="90" t="str"/>
      <x:c r="H26" s="90" t="str">
        <x:v>https://raw.githubusercontent.com/SimplifyJobs/Summer2026-Internships/refs/heads/dev/archived/README-2025.md</x:v>
      </x:c>
    </x:row>
    <x:row r="27" ht="48" customHeight="1">
      <x:c r="A27" s="90" t="str">
        <x:v>Instacart</x:v>
      </x:c>
      <x:c r="B27" s="90" t="n">
        <x:v>2026</x:v>
      </x:c>
      <x:c r="C27" s="90" t="str">
        <x:v>Data Science PhD Intern</x:v>
      </x:c>
      <x:c r="D27" s="90" t="str">
        <x:v>graduate_only</x:v>
      </x:c>
      <x:c r="E27" s="90" t="str">
        <x:v>exact</x:v>
      </x:c>
      <x:c r="F27" s="90" t="str">
        <x:v>Positive opportunity evidence</x:v>
      </x:c>
      <x:c r="G27" s="90" t="str"/>
      <x:c r="H27" s="90" t="str">
        <x:v>https://raw.githubusercontent.com/SimplifyJobs/Summer2026-Internships/refs/heads/dev/README-Inactive.md</x:v>
      </x:c>
    </x:row>
    <x:row r="28" ht="48" customHeight="1">
      <x:c r="A28" s="90" t="str">
        <x:v>Intel</x:v>
      </x:c>
      <x:c r="B28" s="90" t="n">
        <x:v>2025</x:v>
      </x:c>
      <x:c r="C28" s="90" t="str">
        <x:v>Machine Learning Software Engineering Undergraduate Intern</x:v>
      </x:c>
      <x:c r="D28" s="90" t="str">
        <x:v>undergrad</x:v>
      </x:c>
      <x:c r="E28" s="90" t="str">
        <x:v>adjacent</x:v>
      </x:c>
      <x:c r="F28" s="90" t="str">
        <x:v>Partial opportunity evidence</x:v>
      </x:c>
      <x:c r="G28" s="90" t="str">
        <x:v>Undergraduate ML opportunity; more engineering-heavy than Ahaan's preferred lane.</x:v>
      </x:c>
      <x:c r="H28" s="90" t="str">
        <x:v>https://raw.githubusercontent.com/SimplifyJobs/Summer2026-Internships/refs/heads/dev/archived/README-2025.md</x:v>
      </x:c>
    </x:row>
    <x:row r="29" ht="48" customHeight="1">
      <x:c r="A29" s="90" t="str">
        <x:v>Intuit</x:v>
      </x:c>
      <x:c r="B29" s="90" t="n">
        <x:v>2026</x:v>
      </x:c>
      <x:c r="C29" s="90" t="str">
        <x:v>Data Science Intern – Identity &amp; Analytics</x:v>
      </x:c>
      <x:c r="D29" s="90" t="str">
        <x:v>undergrad_unknown</x:v>
      </x:c>
      <x:c r="E29" s="90" t="str">
        <x:v>exact</x:v>
      </x:c>
      <x:c r="F29" s="90" t="str">
        <x:v>Positive opportunity evidence</x:v>
      </x:c>
      <x:c r="G29" s="90" t="str"/>
      <x:c r="H29" s="90" t="str">
        <x:v>https://raw.githubusercontent.com/SimplifyJobs/Summer2026-Internships/refs/heads/dev/README-Inactive.md</x:v>
      </x:c>
    </x:row>
    <x:row r="30" ht="48" customHeight="1">
      <x:c r="A30" s="90" t="str">
        <x:v>LinkedIn</x:v>
      </x:c>
      <x:c r="B30" s="90" t="n">
        <x:v>2026</x:v>
      </x:c>
      <x:c r="C30" s="90" t="str">
        <x:v>Applied Science – Data Science Intern</x:v>
      </x:c>
      <x:c r="D30" s="90" t="str">
        <x:v>phd_only</x:v>
      </x:c>
      <x:c r="E30" s="90" t="str">
        <x:v>exact</x:v>
      </x:c>
      <x:c r="F30" s="90" t="str">
        <x:v>Positive opportunity evidence</x:v>
      </x:c>
      <x:c r="G30" s="90" t="str"/>
      <x:c r="H30" s="90" t="str">
        <x:v>https://raw.githubusercontent.com/SimplifyJobs/Summer2026-Internships/refs/heads/dev/README-Inactive.md</x:v>
      </x:c>
    </x:row>
    <x:row r="31" ht="48" customHeight="1">
      <x:c r="A31" s="90" t="str">
        <x:v>LinkedIn</x:v>
      </x:c>
      <x:c r="B31" s="90" t="n">
        <x:v>2026</x:v>
      </x:c>
      <x:c r="C31" s="90" t="str">
        <x:v>Strategy &amp; Insights – Data Science Intern</x:v>
      </x:c>
      <x:c r="D31" s="90" t="str">
        <x:v>masters_only</x:v>
      </x:c>
      <x:c r="E31" s="90" t="str">
        <x:v>exact</x:v>
      </x:c>
      <x:c r="F31" s="90" t="str">
        <x:v>Positive opportunity evidence</x:v>
      </x:c>
      <x:c r="G31" s="90" t="str"/>
      <x:c r="H31" s="90" t="str">
        <x:v>https://raw.githubusercontent.com/SimplifyJobs/Summer2026-Internships/refs/heads/dev/README-Inactive.md</x:v>
      </x:c>
    </x:row>
    <x:row r="32" ht="48" customHeight="1">
      <x:c r="A32" s="90" t="str">
        <x:v>Lyft</x:v>
      </x:c>
      <x:c r="B32" s="90" t="n">
        <x:v>2026</x:v>
      </x:c>
      <x:c r="C32" s="90" t="str">
        <x:v>Data Analyst Intern</x:v>
      </x:c>
      <x:c r="D32" s="90" t="str">
        <x:v>undergrad_unknown</x:v>
      </x:c>
      <x:c r="E32" s="90" t="str">
        <x:v>exact</x:v>
      </x:c>
      <x:c r="F32" s="90" t="str">
        <x:v>Positive opportunity evidence</x:v>
      </x:c>
      <x:c r="G32" s="90" t="str"/>
      <x:c r="H32" s="90" t="str">
        <x:v>https://raw.githubusercontent.com/SimplifyJobs/Summer2026-Internships/refs/heads/dev/README-Inactive.md</x:v>
      </x:c>
    </x:row>
    <x:row r="33" ht="48" customHeight="1">
      <x:c r="A33" s="90" t="str">
        <x:v>Meta</x:v>
      </x:c>
      <x:c r="B33" s="90" t="n">
        <x:v>2025</x:v>
      </x:c>
      <x:c r="C33" s="90" t="str">
        <x:v>Data Scientist Intern – Product Analytics</x:v>
      </x:c>
      <x:c r="D33" s="90" t="str">
        <x:v>phd_only</x:v>
      </x:c>
      <x:c r="E33" s="90" t="str">
        <x:v>exact</x:v>
      </x:c>
      <x:c r="F33" s="90" t="str">
        <x:v>Positive opportunity evidence</x:v>
      </x:c>
      <x:c r="G33" s="90" t="str">
        <x:v>Exact role family but PhD-only in observed posting.</x:v>
      </x:c>
      <x:c r="H33" s="90" t="str">
        <x:v>https://raw.githubusercontent.com/SimplifyJobs/Summer2026-Internships/refs/heads/dev/archived/README-2025.md</x:v>
      </x:c>
    </x:row>
    <x:row r="34" ht="48" customHeight="1">
      <x:c r="A34" s="90" t="str">
        <x:v>Microsoft</x:v>
      </x:c>
      <x:c r="B34" s="90" t="n">
        <x:v>2026</x:v>
      </x:c>
      <x:c r="C34" s="90" t="str">
        <x:v>Research Intern</x:v>
      </x:c>
      <x:c r="D34" s="90" t="str">
        <x:v>undergrad_or_grad_unknown</x:v>
      </x:c>
      <x:c r="E34" s="90" t="str">
        <x:v>adjacent</x:v>
      </x:c>
      <x:c r="F34" s="90" t="str">
        <x:v>Partial opportunity evidence</x:v>
      </x:c>
      <x:c r="G34" s="90" t="str"/>
      <x:c r="H34" s="90" t="str">
        <x:v>https://raw.githubusercontent.com/SimplifyJobs/Summer2026-Internships/refs/heads/dev/README.md</x:v>
      </x:c>
    </x:row>
    <x:row r="35" ht="48" customHeight="1">
      <x:c r="A35" s="90" t="str">
        <x:v>Microsoft</x:v>
      </x:c>
      <x:c r="B35" s="90" t="n">
        <x:v>2026</x:v>
      </x:c>
      <x:c r="C35" s="90" t="str">
        <x:v>Research Intern – Microsoft Research AI Frontiers</x:v>
      </x:c>
      <x:c r="D35" s="90" t="str">
        <x:v>advanced_unknown</x:v>
      </x:c>
      <x:c r="E35" s="90" t="str">
        <x:v>adjacent</x:v>
      </x:c>
      <x:c r="F35" s="90" t="str">
        <x:v>Partial opportunity evidence</x:v>
      </x:c>
      <x:c r="G35" s="90" t="str">
        <x:v>Research-heavy opportunity; likely advanced-degree skew.</x:v>
      </x:c>
      <x:c r="H35" s="90" t="str">
        <x:v>https://raw.githubusercontent.com/SimplifyJobs/Summer2026-Internships/refs/heads/dev/README-Inactive.md</x:v>
      </x:c>
    </x:row>
    <x:row r="36" ht="48" customHeight="1">
      <x:c r="A36" s="90" t="str">
        <x:v>Netflix</x:v>
      </x:c>
      <x:c r="B36" s="90" t="n">
        <x:v>2025</x:v>
      </x:c>
      <x:c r="C36" s="90" t="str">
        <x:v>Data Visualization Engineer Intern</x:v>
      </x:c>
      <x:c r="D36" s="90" t="str">
        <x:v>undergrad_unknown</x:v>
      </x:c>
      <x:c r="E36" s="90" t="str">
        <x:v>adjacent</x:v>
      </x:c>
      <x:c r="F36" s="90" t="str">
        <x:v>Partial opportunity evidence</x:v>
      </x:c>
      <x:c r="G36" s="90" t="str"/>
      <x:c r="H36" s="90" t="str">
        <x:v>https://raw.githubusercontent.com/SimplifyJobs/Summer2026-Internships/refs/heads/dev/archived/README-2025.md</x:v>
      </x:c>
    </x:row>
    <x:row r="37" ht="48" customHeight="1">
      <x:c r="A37" s="90" t="str">
        <x:v>Nielsen / NielsenIQ</x:v>
      </x:c>
      <x:c r="B37" s="90" t="n">
        <x:v>2026</x:v>
      </x:c>
      <x:c r="C37" s="90" t="str">
        <x:v>Data Science Intern</x:v>
      </x:c>
      <x:c r="D37" s="90" t="str">
        <x:v>undergrad_unknown</x:v>
      </x:c>
      <x:c r="E37" s="90" t="str">
        <x:v>exact</x:v>
      </x:c>
      <x:c r="F37" s="90" t="str">
        <x:v>Positive opportunity evidence</x:v>
      </x:c>
      <x:c r="G37" s="90" t="str">
        <x:v>Exact data-science role.</x:v>
      </x:c>
      <x:c r="H37" s="90" t="str">
        <x:v>https://raw.githubusercontent.com/SimplifyJobs/Summer2026-Internships/refs/heads/dev/README-Inactive.md</x:v>
      </x:c>
    </x:row>
    <x:row r="38" ht="48" customHeight="1">
      <x:c r="A38" s="90" t="str">
        <x:v>Palantir</x:v>
      </x:c>
      <x:c r="B38" s="90" t="n">
        <x:v>2025</x:v>
      </x:c>
      <x:c r="C38" s="90" t="str">
        <x:v>Deployment Strategist Internship</x:v>
      </x:c>
      <x:c r="D38" s="90" t="str">
        <x:v>undergrad_unknown</x:v>
      </x:c>
      <x:c r="E38" s="90" t="str">
        <x:v>adjacent</x:v>
      </x:c>
      <x:c r="F38" s="90" t="str">
        <x:v>Partial opportunity evidence</x:v>
      </x:c>
      <x:c r="G38" s="90" t="str"/>
      <x:c r="H38" s="90" t="str">
        <x:v>https://raw.githubusercontent.com/SimplifyJobs/Summer2026-Internships/refs/heads/dev/archived/README-2025.md</x:v>
      </x:c>
    </x:row>
    <x:row r="39" ht="48" customHeight="1">
      <x:c r="A39" s="90" t="str">
        <x:v>Pinterest</x:v>
      </x:c>
      <x:c r="B39" s="90" t="n">
        <x:v>2026</x:v>
      </x:c>
      <x:c r="C39" s="90" t="str">
        <x:v>UX Quantitative Research Intern</x:v>
      </x:c>
      <x:c r="D39" s="90" t="str">
        <x:v>undergrad_unknown</x:v>
      </x:c>
      <x:c r="E39" s="90" t="str">
        <x:v>adjacent</x:v>
      </x:c>
      <x:c r="F39" s="90" t="str">
        <x:v>Partial opportunity evidence</x:v>
      </x:c>
      <x:c r="G39" s="90" t="str">
        <x:v>Quantitative research is relevant to experimentation, but not a standard data-analytics role.</x:v>
      </x:c>
      <x:c r="H39" s="90" t="str">
        <x:v>https://raw.githubusercontent.com/SimplifyJobs/Summer2026-Internships/refs/heads/dev/README-Inactive.md</x:v>
      </x:c>
    </x:row>
    <x:row r="40" ht="48" customHeight="1">
      <x:c r="A40" s="90" t="str">
        <x:v>PwC</x:v>
      </x:c>
      <x:c r="B40" s="90" t="n">
        <x:v>2026</x:v>
      </x:c>
      <x:c r="C40" s="90" t="str">
        <x:v>Assurance Artificial Intelligence Technology Intern</x:v>
      </x:c>
      <x:c r="D40" s="90" t="str">
        <x:v>undergrad_unknown</x:v>
      </x:c>
      <x:c r="E40" s="90" t="str">
        <x:v>adjacent</x:v>
      </x:c>
      <x:c r="F40" s="90" t="str">
        <x:v>Partial opportunity evidence</x:v>
      </x:c>
      <x:c r="G40" s="90" t="str"/>
      <x:c r="H40" s="90" t="str">
        <x:v>https://raw.githubusercontent.com/SimplifyJobs/Summer2026-Internships/refs/heads/dev/README-Inactive.md</x:v>
      </x:c>
    </x:row>
    <x:row r="41" ht="48" customHeight="1">
      <x:c r="A41" s="90" t="str">
        <x:v>Qualcomm</x:v>
      </x:c>
      <x:c r="B41" s="90" t="n">
        <x:v>2026</x:v>
      </x:c>
      <x:c r="C41" s="90" t="str">
        <x:v>AI/Machine Learning Internship – Canada</x:v>
      </x:c>
      <x:c r="D41" s="90" t="str">
        <x:v>undergrad_unknown</x:v>
      </x:c>
      <x:c r="E41" s="90" t="str">
        <x:v>adjacent</x:v>
      </x:c>
      <x:c r="F41" s="90" t="str">
        <x:v>Partial opportunity evidence</x:v>
      </x:c>
      <x:c r="G41" s="90" t="str">
        <x:v>Non-U.S. observed role; does not count as U.S. opportunity evidence.</x:v>
      </x:c>
      <x:c r="H41" s="90" t="str">
        <x:v>https://raw.githubusercontent.com/SimplifyJobs/Summer2026-Internships/refs/heads/dev/README-Inactive.md</x:v>
      </x:c>
    </x:row>
    <x:row r="42" ht="48" customHeight="1">
      <x:c r="A42" s="90" t="str">
        <x:v>Salesforce</x:v>
      </x:c>
      <x:c r="B42" s="90" t="n">
        <x:v>2027</x:v>
      </x:c>
      <x:c r="C42" s="90" t="str">
        <x:v>Software Engineer Intern</x:v>
      </x:c>
      <x:c r="D42" s="90" t="str">
        <x:v>undergrad</x:v>
      </x:c>
      <x:c r="E42" s="90" t="str">
        <x:v>off_target</x:v>
      </x:c>
      <x:c r="F42" s="90" t="str">
        <x:v>Company remains; role does not count</x:v>
      </x:c>
      <x:c r="G42" s="90" t="str">
        <x:v>Current role is off-target but company remains.</x:v>
      </x:c>
      <x:c r="H42" s="90" t="str">
        <x:v>https://raw.githubusercontent.com/vanshb03/Summer2027-Internships/dev/README.md</x:v>
      </x:c>
    </x:row>
    <x:row r="43" ht="48" customHeight="1">
      <x:c r="A43" s="90" t="str">
        <x:v>Salesforce</x:v>
      </x:c>
      <x:c r="B43" s="90" t="n">
        <x:v>2025</x:v>
      </x:c>
      <x:c r="C43" s="90" t="str">
        <x:v>Data Analyst Intern</x:v>
      </x:c>
      <x:c r="D43" s="90" t="str">
        <x:v>undergrad_unknown</x:v>
      </x:c>
      <x:c r="E43" s="90" t="str">
        <x:v>exact</x:v>
      </x:c>
      <x:c r="F43" s="90" t="str">
        <x:v>Positive opportunity evidence</x:v>
      </x:c>
      <x:c r="G43" s="90" t="str">
        <x:v>Exact data analyst title.</x:v>
      </x:c>
      <x:c r="H43" s="90" t="str">
        <x:v>https://raw.githubusercontent.com/SimplifyJobs/Summer2026-Internships/refs/heads/dev/archived/README-2025.md</x:v>
      </x:c>
    </x:row>
    <x:row r="44" ht="48" customHeight="1">
      <x:c r="A44" s="90" t="str">
        <x:v>Samsung Research America</x:v>
      </x:c>
      <x:c r="B44" s="90" t="n">
        <x:v>2026</x:v>
      </x:c>
      <x:c r="C44" s="90" t="str">
        <x:v>AI Wireless Research Intern</x:v>
      </x:c>
      <x:c r="D44" s="90" t="str">
        <x:v>undergrad_unknown</x:v>
      </x:c>
      <x:c r="E44" s="90" t="str">
        <x:v>adjacent</x:v>
      </x:c>
      <x:c r="F44" s="90" t="str">
        <x:v>Partial opportunity evidence</x:v>
      </x:c>
      <x:c r="G44" s="90" t="str"/>
      <x:c r="H44" s="90" t="str">
        <x:v>https://raw.githubusercontent.com/SimplifyJobs/Summer2026-Internships/refs/heads/dev/README-Inactive.md</x:v>
      </x:c>
    </x:row>
    <x:row r="45" ht="48" customHeight="1">
      <x:c r="A45" s="90" t="str">
        <x:v>Samsung Research America</x:v>
      </x:c>
      <x:c r="B45" s="90" t="n">
        <x:v>2026</x:v>
      </x:c>
      <x:c r="C45" s="90" t="str">
        <x:v>Machine Learning Engineer Intern</x:v>
      </x:c>
      <x:c r="D45" s="90" t="str">
        <x:v>undergrad_unknown</x:v>
      </x:c>
      <x:c r="E45" s="90" t="str">
        <x:v>adjacent</x:v>
      </x:c>
      <x:c r="F45" s="90" t="str">
        <x:v>Partial opportunity evidence</x:v>
      </x:c>
      <x:c r="G45" s="90" t="str"/>
      <x:c r="H45" s="90" t="str">
        <x:v>https://raw.githubusercontent.com/SimplifyJobs/Summer2026-Internships/refs/heads/dev/README-Inactive.md</x:v>
      </x:c>
    </x:row>
    <x:row r="46" ht="48" customHeight="1">
      <x:c r="A46" s="90" t="str">
        <x:v>Snap</x:v>
      </x:c>
      <x:c r="B46" s="90" t="n">
        <x:v>2026</x:v>
      </x:c>
      <x:c r="C46" s="90" t="str">
        <x:v>Machine Learning Engineer Intern</x:v>
      </x:c>
      <x:c r="D46" s="90" t="str">
        <x:v>undergrad_unknown</x:v>
      </x:c>
      <x:c r="E46" s="90" t="str">
        <x:v>adjacent</x:v>
      </x:c>
      <x:c r="F46" s="90" t="str">
        <x:v>Partial opportunity evidence</x:v>
      </x:c>
      <x:c r="G46" s="90" t="str"/>
      <x:c r="H46" s="90" t="str">
        <x:v>https://raw.githubusercontent.com/SimplifyJobs/Summer2026-Internships/refs/heads/dev/README-Inactive.md</x:v>
      </x:c>
    </x:row>
    <x:row r="47" ht="48" customHeight="1">
      <x:c r="A47" s="90" t="str">
        <x:v>Snap</x:v>
      </x:c>
      <x:c r="B47" s="90" t="n">
        <x:v>2026</x:v>
      </x:c>
      <x:c r="C47" s="90" t="str">
        <x:v>Product Analyst Intern</x:v>
      </x:c>
      <x:c r="D47" s="90" t="str">
        <x:v>undergrad_unknown</x:v>
      </x:c>
      <x:c r="E47" s="90" t="str">
        <x:v>exact</x:v>
      </x:c>
      <x:c r="F47" s="90" t="str">
        <x:v>Positive opportunity evidence</x:v>
      </x:c>
      <x:c r="G47" s="90" t="str">
        <x:v>Exact product-analytics-adjacent role.</x:v>
      </x:c>
      <x:c r="H47" s="90" t="str">
        <x:v>https://raw.githubusercontent.com/SimplifyJobs/Summer2026-Internships/refs/heads/dev/README-Inactive.md</x:v>
      </x:c>
    </x:row>
    <x:row r="48" ht="48" customHeight="1">
      <x:c r="A48" s="90" t="str">
        <x:v>Snowflake</x:v>
      </x:c>
      <x:c r="B48" s="90" t="n">
        <x:v>2026</x:v>
      </x:c>
      <x:c r="C48" s="90" t="str">
        <x:v>Analytics Engineering Intern</x:v>
      </x:c>
      <x:c r="D48" s="90" t="str">
        <x:v>undergrad_unknown</x:v>
      </x:c>
      <x:c r="E48" s="90" t="str">
        <x:v>exact</x:v>
      </x:c>
      <x:c r="F48" s="90" t="str">
        <x:v>Positive opportunity evidence</x:v>
      </x:c>
      <x:c r="G48" s="90" t="str"/>
      <x:c r="H48" s="90" t="str">
        <x:v>https://raw.githubusercontent.com/SimplifyJobs/Summer2026-Internships/refs/heads/dev/README-Inactive.md</x:v>
      </x:c>
    </x:row>
    <x:row r="49" ht="48" customHeight="1">
      <x:c r="A49" s="90" t="str">
        <x:v>Snowflake</x:v>
      </x:c>
      <x:c r="B49" s="90" t="n">
        <x:v>2026</x:v>
      </x:c>
      <x:c r="C49" s="90" t="str">
        <x:v>Business Analyst Intern</x:v>
      </x:c>
      <x:c r="D49" s="90" t="str">
        <x:v>undergrad_unknown</x:v>
      </x:c>
      <x:c r="E49" s="90" t="str">
        <x:v>adjacent</x:v>
      </x:c>
      <x:c r="F49" s="90" t="str">
        <x:v>Partial opportunity evidence</x:v>
      </x:c>
      <x:c r="G49" s="90" t="str"/>
      <x:c r="H49" s="90" t="str">
        <x:v>https://raw.githubusercontent.com/SimplifyJobs/Summer2026-Internships/refs/heads/dev/README-Inactive.md</x:v>
      </x:c>
    </x:row>
    <x:row r="50" ht="48" customHeight="1">
      <x:c r="A50" s="90" t="str">
        <x:v>Snowflake</x:v>
      </x:c>
      <x:c r="B50" s="90" t="n">
        <x:v>2026</x:v>
      </x:c>
      <x:c r="C50" s="90" t="str">
        <x:v>Data Science Intern</x:v>
      </x:c>
      <x:c r="D50" s="90" t="str">
        <x:v>undergrad_unknown</x:v>
      </x:c>
      <x:c r="E50" s="90" t="str">
        <x:v>exact</x:v>
      </x:c>
      <x:c r="F50" s="90" t="str">
        <x:v>Positive opportunity evidence</x:v>
      </x:c>
      <x:c r="G50" s="90" t="str"/>
      <x:c r="H50" s="90" t="str">
        <x:v>https://raw.githubusercontent.com/SimplifyJobs/Summer2026-Internships/refs/heads/dev/README-Inactive.md</x:v>
      </x:c>
    </x:row>
    <x:row r="51" ht="48" customHeight="1">
      <x:c r="A51" s="90" t="str">
        <x:v>Snowflake</x:v>
      </x:c>
      <x:c r="B51" s="90" t="n">
        <x:v>2025</x:v>
      </x:c>
      <x:c r="C51" s="90" t="str">
        <x:v>Academic Program Growth &amp; Analytics Intern</x:v>
      </x:c>
      <x:c r="D51" s="90" t="str">
        <x:v>undergrad_unknown</x:v>
      </x:c>
      <x:c r="E51" s="90" t="str">
        <x:v>exact</x:v>
      </x:c>
      <x:c r="F51" s="90" t="str">
        <x:v>Positive opportunity evidence</x:v>
      </x:c>
      <x:c r="G51" s="90" t="str"/>
      <x:c r="H51" s="90" t="str">
        <x:v>https://raw.githubusercontent.com/SimplifyJobs/Summer2026-Internships/refs/heads/dev/archived/README-2025.md</x:v>
      </x:c>
    </x:row>
    <x:row r="52" ht="48" customHeight="1">
      <x:c r="A52" s="90" t="str">
        <x:v>Splunk (Cisco)</x:v>
      </x:c>
      <x:c r="B52" s="90" t="n">
        <x:v>2025</x:v>
      </x:c>
      <x:c r="C52" s="90" t="str">
        <x:v>Machine Learning Engineer Intern</x:v>
      </x:c>
      <x:c r="D52" s="90" t="str">
        <x:v>undergrad_unknown</x:v>
      </x:c>
      <x:c r="E52" s="90" t="str">
        <x:v>adjacent</x:v>
      </x:c>
      <x:c r="F52" s="90" t="str">
        <x:v>Partial opportunity evidence</x:v>
      </x:c>
      <x:c r="G52" s="90" t="str"/>
      <x:c r="H52" s="90" t="str">
        <x:v>https://raw.githubusercontent.com/SimplifyJobs/Summer2026-Internships/refs/heads/dev/archived/README-2025.md</x:v>
      </x:c>
    </x:row>
    <x:row r="53" ht="48" customHeight="1">
      <x:c r="A53" s="90" t="str">
        <x:v>Splunk (Cisco)</x:v>
      </x:c>
      <x:c r="B53" s="90" t="n">
        <x:v>2025</x:v>
      </x:c>
      <x:c r="C53" s="90" t="str">
        <x:v>Security Data Scientist Intern</x:v>
      </x:c>
      <x:c r="D53" s="90" t="str">
        <x:v>undergrad_unknown</x:v>
      </x:c>
      <x:c r="E53" s="90" t="str">
        <x:v>exact</x:v>
      </x:c>
      <x:c r="F53" s="90" t="str">
        <x:v>Positive opportunity evidence</x:v>
      </x:c>
      <x:c r="G53" s="90" t="str"/>
      <x:c r="H53" s="90" t="str">
        <x:v>https://raw.githubusercontent.com/SimplifyJobs/Summer2026-Internships/refs/heads/dev/archived/README-2025.md</x:v>
      </x:c>
    </x:row>
    <x:row r="54" ht="48" customHeight="1">
      <x:c r="A54" s="90" t="str">
        <x:v>Spotify</x:v>
      </x:c>
      <x:c r="B54" s="90" t="n">
        <x:v>2026</x:v>
      </x:c>
      <x:c r="C54" s="90" t="str">
        <x:v>Engineering &amp; Data Science Intern</x:v>
      </x:c>
      <x:c r="D54" s="90" t="str">
        <x:v>undergrad_unknown</x:v>
      </x:c>
      <x:c r="E54" s="90" t="str">
        <x:v>exact</x:v>
      </x:c>
      <x:c r="F54" s="90" t="str">
        <x:v>Positive opportunity evidence</x:v>
      </x:c>
      <x:c r="G54" s="90" t="str"/>
      <x:c r="H54" s="90" t="str">
        <x:v>https://raw.githubusercontent.com/SimplifyJobs/Summer2026-Internships/refs/heads/dev/README-Inactive.md</x:v>
      </x:c>
    </x:row>
    <x:row r="55" ht="48" customHeight="1">
      <x:c r="A55" s="90" t="str">
        <x:v>Spotify</x:v>
      </x:c>
      <x:c r="B55" s="90" t="n">
        <x:v>2026</x:v>
      </x:c>
      <x:c r="C55" s="90" t="str">
        <x:v>Research Scientist Intern</x:v>
      </x:c>
      <x:c r="D55" s="90" t="str">
        <x:v>advanced_unknown</x:v>
      </x:c>
      <x:c r="E55" s="90" t="str">
        <x:v>adjacent</x:v>
      </x:c>
      <x:c r="F55" s="90" t="str">
        <x:v>Partial opportunity evidence</x:v>
      </x:c>
      <x:c r="G55" s="90" t="str"/>
      <x:c r="H55" s="90" t="str">
        <x:v>https://raw.githubusercontent.com/SimplifyJobs/Summer2026-Internships/refs/heads/dev/README-Inactive.md</x:v>
      </x:c>
    </x:row>
    <x:row r="56" ht="48" customHeight="1">
      <x:c r="A56" s="90" t="str">
        <x:v>State Street</x:v>
      </x:c>
      <x:c r="B56" s="90" t="n">
        <x:v>2026</x:v>
      </x:c>
      <x:c r="C56" s="90" t="str">
        <x:v>Enterprise Risk Management – Credit Risk Analytics Internship</x:v>
      </x:c>
      <x:c r="D56" s="90" t="str">
        <x:v>undergrad_unknown</x:v>
      </x:c>
      <x:c r="E56" s="90" t="str">
        <x:v>exact</x:v>
      </x:c>
      <x:c r="F56" s="90" t="str">
        <x:v>Positive opportunity evidence</x:v>
      </x:c>
      <x:c r="G56" s="90" t="str"/>
      <x:c r="H56" s="90" t="str">
        <x:v>https://raw.githubusercontent.com/SimplifyJobs/Summer2026-Internships/refs/heads/dev/README-Inactive.md</x:v>
      </x:c>
    </x:row>
    <x:row r="57" ht="48" customHeight="1">
      <x:c r="A57" s="90" t="str">
        <x:v>State Street</x:v>
      </x:c>
      <x:c r="B57" s="90" t="n">
        <x:v>2026</x:v>
      </x:c>
      <x:c r="C57" s="90" t="str">
        <x:v>Integrated Audit Data Analyst</x:v>
      </x:c>
      <x:c r="D57" s="90" t="str">
        <x:v>undergrad_unknown</x:v>
      </x:c>
      <x:c r="E57" s="90" t="str">
        <x:v>exact</x:v>
      </x:c>
      <x:c r="F57" s="90" t="str">
        <x:v>Positive opportunity evidence</x:v>
      </x:c>
      <x:c r="G57" s="90" t="str"/>
      <x:c r="H57" s="90" t="str">
        <x:v>https://raw.githubusercontent.com/SimplifyJobs/Summer2026-Internships/refs/heads/dev/README-Inactive.md</x:v>
      </x:c>
    </x:row>
    <x:row r="58" ht="48" customHeight="1">
      <x:c r="A58" s="90" t="str">
        <x:v>State Street</x:v>
      </x:c>
      <x:c r="B58" s="90" t="n">
        <x:v>2026</x:v>
      </x:c>
      <x:c r="C58" s="90" t="str">
        <x:v>Product Analyst Intern</x:v>
      </x:c>
      <x:c r="D58" s="90" t="str">
        <x:v>undergrad_unknown</x:v>
      </x:c>
      <x:c r="E58" s="90" t="str">
        <x:v>adjacent</x:v>
      </x:c>
      <x:c r="F58" s="90" t="str">
        <x:v>Partial opportunity evidence</x:v>
      </x:c>
      <x:c r="G58" s="90" t="str"/>
      <x:c r="H58" s="90" t="str">
        <x:v>https://raw.githubusercontent.com/SimplifyJobs/Summer2026-Internships/refs/heads/dev/README-Inactive.md</x:v>
      </x:c>
    </x:row>
    <x:row r="59" ht="48" customHeight="1">
      <x:c r="A59" s="90" t="str">
        <x:v>Uber</x:v>
      </x:c>
      <x:c r="B59" s="90" t="n">
        <x:v>2026</x:v>
      </x:c>
      <x:c r="C59" s="90" t="str">
        <x:v>Scientist Intern – Grocery &amp; Retail Growth</x:v>
      </x:c>
      <x:c r="D59" s="90" t="str">
        <x:v>phd_only</x:v>
      </x:c>
      <x:c r="E59" s="90" t="str">
        <x:v>exact</x:v>
      </x:c>
      <x:c r="F59" s="90" t="str">
        <x:v>Positive opportunity evidence</x:v>
      </x:c>
      <x:c r="G59" s="90" t="str"/>
      <x:c r="H59" s="90" t="str">
        <x:v>https://raw.githubusercontent.com/SimplifyJobs/Summer2026-Internships/refs/heads/dev/README-Inactive.md</x:v>
      </x:c>
    </x:row>
    <x:row r="60" ht="48" customHeight="1">
      <x:c r="A60" s="90" t="str">
        <x:v>Uber</x:v>
      </x:c>
      <x:c r="B60" s="90" t="n">
        <x:v>2025</x:v>
      </x:c>
      <x:c r="C60" s="90" t="str">
        <x:v>Data Science Internship – Customer Obsession</x:v>
      </x:c>
      <x:c r="D60" s="90" t="str">
        <x:v>undergrad_unknown</x:v>
      </x:c>
      <x:c r="E60" s="90" t="str">
        <x:v>exact</x:v>
      </x:c>
      <x:c r="F60" s="90" t="str">
        <x:v>Positive opportunity evidence</x:v>
      </x:c>
      <x:c r="G60" s="90" t="str"/>
      <x:c r="H60" s="90" t="str">
        <x:v>https://raw.githubusercontent.com/SimplifyJobs/Summer2026-Internships/refs/heads/dev/archived/README-2025.md</x:v>
      </x:c>
    </x:row>
    <x:row r="61" ht="48" customHeight="1">
      <x:c r="A61" s="90" t="str">
        <x:v>Uber</x:v>
      </x:c>
      <x:c r="B61" s="90" t="n">
        <x:v>2025</x:v>
      </x:c>
      <x:c r="C61" s="90" t="str">
        <x:v>Data Science Internship – Earner Actioning</x:v>
      </x:c>
      <x:c r="D61" s="90" t="str">
        <x:v>undergrad_unknown</x:v>
      </x:c>
      <x:c r="E61" s="90" t="str">
        <x:v>exact</x:v>
      </x:c>
      <x:c r="F61" s="90" t="str">
        <x:v>Positive opportunity evidence</x:v>
      </x:c>
      <x:c r="G61" s="90" t="str"/>
      <x:c r="H61" s="90" t="str">
        <x:v>https://raw.githubusercontent.com/SimplifyJobs/Summer2026-Internships/refs/heads/dev/archived/README-2025.md</x:v>
      </x:c>
    </x:row>
    <x:row r="62" ht="48" customHeight="1">
      <x:c r="A62" s="90" t="str">
        <x:v>Uber</x:v>
      </x:c>
      <x:c r="B62" s="90" t="n">
        <x:v>2025</x:v>
      </x:c>
      <x:c r="C62" s="90" t="str">
        <x:v>Data Science Internship – Risk</x:v>
      </x:c>
      <x:c r="D62" s="90" t="str">
        <x:v>undergrad_unknown</x:v>
      </x:c>
      <x:c r="E62" s="90" t="str">
        <x:v>exact</x:v>
      </x:c>
      <x:c r="F62" s="90" t="str">
        <x:v>Positive opportunity evidence</x:v>
      </x:c>
      <x:c r="G62" s="90" t="str"/>
      <x:c r="H62" s="90" t="str">
        <x:v>https://raw.githubusercontent.com/SimplifyJobs/Summer2026-Internships/refs/heads/dev/archived/README-2025.md</x:v>
      </x:c>
    </x:row>
    <x:row r="63" ht="48" customHeight="1">
      <x:c r="A63" s="90" t="str">
        <x:v>Uber</x:v>
      </x:c>
      <x:c r="B63" s="90" t="n">
        <x:v>2025</x:v>
      </x:c>
      <x:c r="C63" s="90" t="str">
        <x:v>Data Science Internship – Safety Identity Science</x:v>
      </x:c>
      <x:c r="D63" s="90" t="str">
        <x:v>undergrad_unknown</x:v>
      </x:c>
      <x:c r="E63" s="90" t="str">
        <x:v>exact</x:v>
      </x:c>
      <x:c r="F63" s="90" t="str">
        <x:v>Positive opportunity evidence</x:v>
      </x:c>
      <x:c r="G63" s="90" t="str"/>
      <x:c r="H63" s="90" t="str">
        <x:v>https://raw.githubusercontent.com/SimplifyJobs/Summer2026-Internships/refs/heads/dev/archived/README-2025.md</x:v>
      </x:c>
    </x:row>
    <x:row r="64" ht="48" customHeight="1">
      <x:c r="A64" s="90" t="str">
        <x:v>Visa</x:v>
      </x:c>
      <x:c r="B64" s="90" t="n">
        <x:v>2025</x:v>
      </x:c>
      <x:c r="C64" s="90" t="str">
        <x:v>Associate Data Scientist Intern – Cybersecurity</x:v>
      </x:c>
      <x:c r="D64" s="90" t="str">
        <x:v>undergrad_unknown</x:v>
      </x:c>
      <x:c r="E64" s="90" t="str">
        <x:v>adjacent</x:v>
      </x:c>
      <x:c r="F64" s="90" t="str">
        <x:v>Partial opportunity evidence</x:v>
      </x:c>
      <x:c r="G64" s="90" t="str"/>
      <x:c r="H64" s="90" t="str">
        <x:v>https://raw.githubusercontent.com/SimplifyJobs/Summer2026-Internships/refs/heads/dev/archived/README-2025.md</x:v>
      </x:c>
    </x:row>
    <x:row r="65" ht="48" customHeight="1">
      <x:c r="A65" s="90" t="str">
        <x:v>Visa</x:v>
      </x:c>
      <x:c r="B65" s="90" t="n">
        <x:v>2025</x:v>
      </x:c>
      <x:c r="C65" s="90" t="str">
        <x:v>Data Storage Intern</x:v>
      </x:c>
      <x:c r="D65" s="90" t="str">
        <x:v>undergrad_unknown</x:v>
      </x:c>
      <x:c r="E65" s="90" t="str">
        <x:v>adjacent</x:v>
      </x:c>
      <x:c r="F65" s="90" t="str">
        <x:v>Partial opportunity evidence</x:v>
      </x:c>
      <x:c r="G65" s="90" t="str"/>
      <x:c r="H65" s="90" t="str">
        <x:v>https://raw.githubusercontent.com/SimplifyJobs/Summer2026-Internships/refs/heads/dev/archived/README-2025.md</x:v>
      </x:c>
    </x:row>
    <x:row r="66" ht="48" customHeight="1">
      <x:c r="A66" s="90" t="str">
        <x:v>Walmart Global Tech</x:v>
      </x:c>
      <x:c r="B66" s="90" t="n">
        <x:v>2026</x:v>
      </x:c>
      <x:c r="C66" s="90" t="str">
        <x:v>Senior Data Science Intern</x:v>
      </x:c>
      <x:c r="D66" s="90" t="str">
        <x:v>graduate_only</x:v>
      </x:c>
      <x:c r="E66" s="90" t="str">
        <x:v>exact</x:v>
      </x:c>
      <x:c r="F66" s="90" t="str">
        <x:v>Positive opportunity evidence</x:v>
      </x:c>
      <x:c r="G66" s="90" t="str"/>
      <x:c r="H66" s="90" t="str">
        <x:v>https://raw.githubusercontent.com/SimplifyJobs/Summer2026-Internships/refs/heads/dev/README-Inactive.md</x:v>
      </x:c>
    </x:row>
    <x:row r="67" ht="48" customHeight="1">
      <x:c r="A67" s="90" t="str">
        <x:v>Zillow</x:v>
      </x:c>
      <x:c r="B67" s="90" t="n">
        <x:v>2026</x:v>
      </x:c>
      <x:c r="C67" s="90" t="str">
        <x:v>AI Applied Scientist Intern</x:v>
      </x:c>
      <x:c r="D67" s="90" t="str">
        <x:v>advanced_unknown</x:v>
      </x:c>
      <x:c r="E67" s="90" t="str">
        <x:v>adjacent</x:v>
      </x:c>
      <x:c r="F67" s="90" t="str">
        <x:v>Partial opportunity evidence</x:v>
      </x:c>
      <x:c r="G67" s="90" t="str"/>
      <x:c r="H67" s="90" t="str">
        <x:v>https://raw.githubusercontent.com/SimplifyJobs/Summer2026-Internships/refs/heads/dev/README-Inactive.md</x:v>
      </x:c>
    </x:row>
    <x:row r="68" ht="48" customHeight="1">
      <x:c r="A68" s="90" t="str">
        <x:v>Zillow</x:v>
      </x:c>
      <x:c r="B68" s="90" t="n">
        <x:v>2026</x:v>
      </x:c>
      <x:c r="C68" s="90" t="str">
        <x:v>AI Applied Scientist Intern – Evaluation Systems and Metrics</x:v>
      </x:c>
      <x:c r="D68" s="90" t="str">
        <x:v>advanced_unknown</x:v>
      </x:c>
      <x:c r="E68" s="90" t="str">
        <x:v>adjacent</x:v>
      </x:c>
      <x:c r="F68" s="90" t="str">
        <x:v>Partial opportunity evidence</x:v>
      </x:c>
      <x:c r="G68" s="90" t="str">
        <x:v>Applied-science opportunity; degree level not established by tracker.</x:v>
      </x:c>
      <x:c r="H68" s="90" t="str">
        <x:v>https://raw.githubusercontent.com/SimplifyJobs/Summer2026-Internships/refs/heads/dev/README-Inactive.md</x:v>
      </x:c>
    </x:row>
    <x:row r="69" ht="48" customHeight="1">
      <x:c r="A69" s="91" t="str">
        <x:v>eBay</x:v>
      </x:c>
      <x:c r="B69" s="91" t="n">
        <x:v>2025</x:v>
      </x:c>
      <x:c r="C69" s="91" t="str">
        <x:v>Data Science – Analytics Intern</x:v>
      </x:c>
      <x:c r="D69" s="91" t="str">
        <x:v>undergrad_unknown</x:v>
      </x:c>
      <x:c r="E69" s="91" t="str">
        <x:v>exact</x:v>
      </x:c>
      <x:c r="F69" s="91" t="str">
        <x:v>Positive opportunity evidence</x:v>
      </x:c>
      <x:c r="G69" s="91" t="str"/>
      <x:c r="H69" s="91" t="str">
        <x:v>https://raw.githubusercontent.com/SimplifyJobs/Summer2026-Internships/refs/heads/dev/archived/README-2025.md</x:v>
      </x:c>
    </x:row>
  </x:sheetData>
  <x:mergeCells>
    <x:mergeCell ref="A1:I1"/>
    <x:mergeCell ref="A2:I2"/>
  </x:mergeCells>
  <x:pageMargins left="0.7" right="0.7" top="0.75" bottom="0.75" header="0.3" footer="0.3"/>
  <x:tableParts count="1">
    <x:tablePart xmlns:r="http://schemas.openxmlformats.org/officeDocument/2006/relationships" r:id="R7f6b435b55844e80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8" hidden="0" customWidth="1"/>
    <x:col min="3" max="3" width="12" hidden="0" customWidth="1"/>
    <x:col min="4" max="4" width="35" hidden="0" customWidth="1"/>
    <x:col min="5" max="5" width="58" hidden="0" customWidth="1"/>
    <x:col min="6" max="6" width="60" hidden="0" customWidth="1"/>
    <x:col min="7" max="7" width="42" hidden="0" customWidth="1"/>
    <x:col min="8" max="8" width="48" hidden="0" customWidth="1"/>
    <x:col min="9" max="9" width="78" hidden="0" customWidth="1"/>
    <x:col min="10" max="10" width="35" hidden="0" customWidth="1"/>
  </x:cols>
  <x:sheetData>
    <x:row r="1" ht="34" customHeight="1">
      <x:c r="A1" s="4" t="str">
        <x:v>Current Exact-Posting Evidence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 ht="29" customHeight="1">
      <x:c r="A2" s="11" t="str">
        <x:v>Current roles demonstrate why posting-level decisions can differ from company-level ranking.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</x:row>
    <x:row r="4" ht="32" customHeight="1">
      <x:c r="A4" s="79" t="str">
        <x:v>Company</x:v>
      </x:c>
      <x:c r="B4" s="79" t="str">
        <x:v>Exact role</x:v>
      </x:c>
      <x:c r="C4" s="79" t="str">
        <x:v>Status</x:v>
      </x:c>
      <x:c r="D4" s="79" t="str">
        <x:v>Graduation / degree fit</x:v>
      </x:c>
      <x:c r="E4" s="79" t="str">
        <x:v>Ahaan match</x:v>
      </x:c>
      <x:c r="F4" s="79" t="str">
        <x:v>CPT / sponsorship evidence</x:v>
      </x:c>
      <x:c r="G4" s="79" t="str">
        <x:v>GPA</x:v>
      </x:c>
      <x:c r="H4" s="79" t="str">
        <x:v>Decision</x:v>
      </x:c>
      <x:c r="I4" s="79" t="str">
        <x:v>Official URL</x:v>
      </x:c>
      <x:c r="J4" s="79" t="str">
        <x:v>Model treatment</x:v>
      </x:c>
    </x:row>
    <x:row r="5" ht="68" customHeight="1">
      <x:c r="A5" s="90" t="str">
        <x:v>Bank of America</x:v>
      </x:c>
      <x:c r="B5" s="90" t="str">
        <x:v>Quantitative Data Analytics Summer Analyst Program</x:v>
      </x:c>
      <x:c r="C5" s="90" t="str">
        <x:v>Open</x:v>
      </x:c>
      <x:c r="D5" s="90" t="str">
        <x:v>Graduation Nov 2027–Aug 2028; undergraduate</x:v>
      </x:c>
      <x:c r="E5" s="90" t="str">
        <x:v>Very strong: Economics/CMDA; Python, SQL, R/Java, Tableau; consumer analytics</x:v>
      </x:c>
      <x:c r="F5" s="90" t="str">
        <x:v>No restriction visible on public posting page; verify application questions</x:v>
      </x:c>
      <x:c r="G5" s="90" t="str">
        <x:v>3.5 preferred; Ahaan 3.31 cumulative and ~3.7 sophomore average</x:v>
      </x:c>
      <x:c r="H5" s="90" t="str">
        <x:v>Apply early after exact work-authorization check</x:v>
      </x:c>
      <x:c r="I5" s="90" t="str">
        <x:v>https://careers.bankofamerica.com/en-us/students/job-detail/14420/quantitative-data-analyst-summer-analyst-program-multiple-locations</x:v>
      </x:c>
      <x:c r="J5" s="90" t="str">
        <x:v>Exact positive role evidence</x:v>
      </x:c>
    </x:row>
    <x:row r="6" ht="68" customHeight="1">
      <x:c r="A6" s="90" t="str">
        <x:v>Bank of America</x:v>
      </x:c>
      <x:c r="B6" s="90" t="str">
        <x:v>Global Technology Summer Analyst — Business Analyst</x:v>
      </x:c>
      <x:c r="C6" s="90" t="str">
        <x:v>Open</x:v>
      </x:c>
      <x:c r="D6" s="90" t="str">
        <x:v>Undergraduate junior window</x:v>
      </x:c>
      <x:c r="E6" s="90" t="str">
        <x:v>Related business/technology analytics</x:v>
      </x:c>
      <x:c r="F6" s="90" t="str">
        <x:v>Posting excludes candidates needing sponsorship now or in the future</x:v>
      </x:c>
      <x:c r="G6" s="90" t="str">
        <x:v>Verify posting</x:v>
      </x:c>
      <x:c r="H6" s="90" t="str">
        <x:v>Skip this exact role; do not remove the company</x:v>
      </x:c>
      <x:c r="I6" s="90" t="str">
        <x:v>https://careers.bankofamerica.com/en-us/students/job-detail/14419/global-technology-summer-analyst-2027-business-analyst-multiple-locations</x:v>
      </x:c>
      <x:c r="J6" s="90" t="str">
        <x:v>Hard posting-level block</x:v>
      </x:c>
    </x:row>
    <x:row r="7" ht="68" customHeight="1">
      <x:c r="A7" s="90" t="str">
        <x:v>BlackRock</x:v>
      </x:c>
      <x:c r="B7" s="90" t="str">
        <x:v>2027 Summer Internship — Analytics &amp; Risk / Analytics &amp; Modeling</x:v>
      </x:c>
      <x:c r="C7" s="90" t="str">
        <x:v>Open</x:v>
      </x:c>
      <x:c r="D7" s="90" t="str">
        <x:v>Graduation Sep 2027–Jul 2028</x:v>
      </x:c>
      <x:c r="E7" s="90" t="str">
        <x:v>Strong: CMDA/Economics, modeling, research and analytics</x:v>
      </x:c>
      <x:c r="F7" s="90" t="str">
        <x:v>No public exclusion found; verify application questions</x:v>
      </x:c>
      <x:c r="G7" s="90" t="str">
        <x:v>No explicit threshold captured</x:v>
      </x:c>
      <x:c r="H7" s="90" t="str">
        <x:v>Apply to the analytics-oriented function</x:v>
      </x:c>
      <x:c r="I7" s="90" t="str">
        <x:v>https://careers.blackrock.com/job/new-york/2027-summer-internship-program-amers/45831/90628276544</x:v>
      </x:c>
      <x:c r="J7" s="90" t="str">
        <x:v>Exact positive role evidence</x:v>
      </x:c>
    </x:row>
    <x:row r="8" ht="68" customHeight="1">
      <x:c r="A8" s="91" t="str">
        <x:v>Amazon</x:v>
      </x:c>
      <x:c r="B8" s="91" t="str">
        <x:v>Operations Finance Rotational Program Intern</x:v>
      </x:c>
      <x:c r="C8" s="91" t="str">
        <x:v>Open</x:v>
      </x:c>
      <x:c r="D8" s="91" t="str">
        <x:v>Undergraduate</x:v>
      </x:c>
      <x:c r="E8" s="91" t="str">
        <x:v>Economics/analytics overlap, but not Ahaan's preferred role family</x:v>
      </x:c>
      <x:c r="F8" s="91" t="str">
        <x:v>Sponsorship warning in posting</x:v>
      </x:c>
      <x:c r="G8" s="91" t="str">
        <x:v>Not central</x:v>
      </x:c>
      <x:c r="H8" s="91" t="str">
        <x:v>Do not use this role to judge Amazon's future analytics openings</x:v>
      </x:c>
      <x:c r="I8" s="91" t="str">
        <x:v>https://www.amazon.jobs/en/jobs/10435673/2027-amazon-operations-finance-rotational-program-summer-internship</x:v>
      </x:c>
      <x:c r="J8" s="91" t="str">
        <x:v>Off-target role; company remains</x:v>
      </x:c>
    </x:row>
  </x:sheetData>
  <x:mergeCells>
    <x:mergeCell ref="A1:L1"/>
    <x:mergeCell ref="A2:L2"/>
  </x:mergeCells>
  <x:pageMargins left="0.7" right="0.7" top="0.75" bottom="0.75" header="0.3" footer="0.3"/>
  <x:tableParts count="1">
    <x:tablePart xmlns:r="http://schemas.openxmlformats.org/officeDocument/2006/relationships" r:id="R77b042ec8d1741f4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8" hidden="0" customWidth="1"/>
    <x:col min="3" max="3" width="48" hidden="0" customWidth="1"/>
    <x:col min="4" max="4" width="65" hidden="0" customWidth="1"/>
    <x:col min="5" max="5" width="15" hidden="0" customWidth="1"/>
    <x:col min="6" max="6" width="13" hidden="0" customWidth="1"/>
    <x:col min="7" max="7" width="17" hidden="0" customWidth="1"/>
    <x:col min="8" max="8" width="21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5" hidden="0" customWidth="1"/>
    <x:col min="15" max="15" width="20" hidden="0" customWidth="1"/>
    <x:col min="16" max="16" width="23" hidden="0" customWidth="1"/>
    <x:col min="17" max="17" width="23" hidden="0" customWidth="1"/>
    <x:col min="18" max="18" width="55" hidden="0" customWidth="1"/>
  </x:cols>
  <x:sheetData>
    <x:row r="1" ht="34" customHeight="1">
      <x:c r="A1" s="4" t="str">
        <x:v>Exact Posting Prioritization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  <x:c r="S1" s="4"/>
    </x:row>
    <x:row r="2" ht="29" customHeight="1">
      <x:c r="A2" s="11" t="str">
        <x:v>Editable. This produces an application-priority score—not an interview probability.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  <x:c r="O2" s="11"/>
      <x:c r="P2" s="11"/>
      <x:c r="Q2" s="11"/>
      <x:c r="R2" s="11"/>
      <x:c r="S2" s="11"/>
    </x:row>
    <x:row r="4" ht="32" customHeight="1">
      <x:c r="A4" s="79" t="str">
        <x:v>Role ID</x:v>
      </x:c>
      <x:c r="B4" s="79" t="str">
        <x:v>Company</x:v>
      </x:c>
      <x:c r="C4" s="79" t="str">
        <x:v>Exact role</x:v>
      </x:c>
      <x:c r="D4" s="79" t="str">
        <x:v>Official URL</x:v>
      </x:c>
      <x:c r="E4" s="79" t="str">
        <x:v>CPT block?</x:v>
      </x:c>
      <x:c r="F4" s="79" t="str">
        <x:v>US role?</x:v>
      </x:c>
      <x:c r="G4" s="79" t="str">
        <x:v>Undergraduate?</x:v>
      </x:c>
      <x:c r="H4" s="79" t="str">
        <x:v>May 2028 window?</x:v>
      </x:c>
      <x:c r="I4" s="79" t="str">
        <x:v>Role-family match</x:v>
      </x:c>
      <x:c r="J4" s="79" t="str">
        <x:v>Résumé/JD match</x:v>
      </x:c>
      <x:c r="K4" s="79" t="str">
        <x:v>Posted ≤7 days?</x:v>
      </x:c>
      <x:c r="L4" s="79" t="str">
        <x:v>Network strength</x:v>
      </x:c>
      <x:c r="M4" s="79" t="str">
        <x:v>Company P(top40)</x:v>
      </x:c>
      <x:c r="N4" s="79" t="str">
        <x:v>Eligibility</x:v>
      </x:c>
      <x:c r="O4" s="79" t="str">
        <x:v>Role priority score</x:v>
      </x:c>
      <x:c r="P4" s="79" t="str">
        <x:v>Action</x:v>
      </x:c>
      <x:c r="Q4" s="79" t="str">
        <x:v>Credibility</x:v>
      </x:c>
      <x:c r="R4" s="79" t="str">
        <x:v>Notes</x:v>
      </x:c>
    </x:row>
    <x:row r="5" ht="36" customHeight="1">
      <x:c r="A5" s="90" t="str">
        <x:v>R001</x:v>
      </x:c>
      <x:c r="B5" s="90" t="str">
        <x:v>Bank of America</x:v>
      </x:c>
      <x:c r="C5" s="90" t="str">
        <x:v>Quantitative Data Analytics Summer Analyst Program</x:v>
      </x:c>
      <x:c r="D5" s="90" t="str">
        <x:v>https://careers.bankofamerica.com/en-us/students/job-detail/14420/quantitative-data-analyst-summer-analyst-program-multiple-locations</x:v>
      </x:c>
      <x:c r="E5" s="90" t="str">
        <x:v>Verify</x:v>
      </x:c>
      <x:c r="F5" s="90" t="str">
        <x:v>Yes</x:v>
      </x:c>
      <x:c r="G5" s="90" t="str">
        <x:v>Yes</x:v>
      </x:c>
      <x:c r="H5" s="90" t="str">
        <x:v>Yes</x:v>
      </x:c>
      <x:c r="I5" s="98" t="n">
        <x:v>0.98</x:v>
      </x:c>
      <x:c r="J5" s="98" t="n">
        <x:v>0.95</x:v>
      </x:c>
      <x:c r="K5" s="90" t="str">
        <x:v>Yes</x:v>
      </x:c>
      <x:c r="L5" s="98" t="n">
        <x:v>0.3</x:v>
      </x:c>
      <x:c r="M5" s="98" t="n">
        <x:f>IFERROR(VLOOKUP(B5,'Company Ranking'!$B$5:$H$200,7,FALSE),"")</x:f>
        <x:v>0.008966666666666666</x:v>
      </x:c>
      <x:c r="N5" s="90" t="str">
        <x:f>IF(A5="","",IF(OR(E5="Yes",F5="No",G5="No",H5="No"),"SKIP",IF(E5="Verify","VERIFY","ELIGIBLE")))</x:f>
        <x:v>VERIFY</x:v>
      </x:c>
      <x:c r="O5" s="98" t="n">
        <x:f>IF(A5="","",IF(N5="SKIP",0,0.30*M5+0.25*I5+0.25*J5+0.08*IF(K5="Yes",1,0.75)+0.12*L5))</x:f>
        <x:v>0.60119</x:v>
      </x:c>
      <x:c r="P5" s="90" t="str">
        <x:f>IF(A5="","",IF(N5="SKIP","Skip",IF(N5="VERIFY","Verify CPT first",IF(O5&gt;=0.75,"Apply immediately",IF(O5&gt;=0.60,"High priority",IF(O5&gt;=0.45,"Apply","Low priority"))))))</x:f>
        <x:v>Verify CPT first</x:v>
      </x:c>
      <x:c r="Q5" s="90" t="str">
        <x:f>IF(A5="","",IF(COUNTA(I5:J5)&lt;2,"Incomplete",IF(E5="Verify","Posting verified; CPT unresolved","Posting-informed")))</x:f>
        <x:v>Posting verified; CPT unresolved</x:v>
      </x:c>
      <x:c r="R5" s="90" t="str"/>
    </x:row>
    <x:row r="6" ht="36" customHeight="1">
      <x:c r="A6" s="90" t="str">
        <x:v>R002</x:v>
      </x:c>
      <x:c r="B6" s="90" t="str">
        <x:v>Bank of America</x:v>
      </x:c>
      <x:c r="C6" s="90" t="str">
        <x:v>Global Technology Summer Analyst — Business Analyst</x:v>
      </x:c>
      <x:c r="D6" s="90" t="str">
        <x:v>https://careers.bankofamerica.com/en-us/students/job-detail/14419/global-technology-summer-analyst-2027-business-analyst-multiple-locations</x:v>
      </x:c>
      <x:c r="E6" s="90" t="str">
        <x:v>Yes</x:v>
      </x:c>
      <x:c r="F6" s="90" t="str">
        <x:v>Yes</x:v>
      </x:c>
      <x:c r="G6" s="90" t="str">
        <x:v>Yes</x:v>
      </x:c>
      <x:c r="H6" s="90" t="str">
        <x:v>Yes</x:v>
      </x:c>
      <x:c r="I6" s="98" t="n">
        <x:v>0.75</x:v>
      </x:c>
      <x:c r="J6" s="98" t="n">
        <x:v>0.75</x:v>
      </x:c>
      <x:c r="K6" s="90" t="str">
        <x:v>Yes</x:v>
      </x:c>
      <x:c r="L6" s="98" t="n">
        <x:v>0.3</x:v>
      </x:c>
      <x:c r="M6" s="98" t="n">
        <x:f>IFERROR(VLOOKUP(B6,'Company Ranking'!$B$5:$H$200,7,FALSE),"")</x:f>
        <x:v>0.008966666666666666</x:v>
      </x:c>
      <x:c r="N6" s="90" t="str">
        <x:f>IF(A6="","",IF(OR(E6="Yes",F6="No",G6="No",H6="No"),"SKIP",IF(E6="Verify","VERIFY","ELIGIBLE")))</x:f>
        <x:v>SKIP</x:v>
      </x:c>
      <x:c r="O6" s="98" t="n">
        <x:f>IF(A6="","",IF(N6="SKIP",0,0.30*M6+0.25*I6+0.25*J6+0.08*IF(K6="Yes",1,0.75)+0.12*L6))</x:f>
        <x:v>0</x:v>
      </x:c>
      <x:c r="P6" s="90" t="str">
        <x:f>IF(A6="","",IF(N6="SKIP","Skip",IF(N6="VERIFY","Verify CPT first",IF(O6&gt;=0.75,"Apply immediately",IF(O6&gt;=0.60,"High priority",IF(O6&gt;=0.45,"Apply","Low priority"))))))</x:f>
        <x:v>Skip</x:v>
      </x:c>
      <x:c r="Q6" s="90" t="str">
        <x:f>IF(A6="","",IF(COUNTA(I6:J6)&lt;2,"Incomplete",IF(E6="Verify","Posting verified; CPT unresolved","Posting-informed")))</x:f>
        <x:v>Posting-informed</x:v>
      </x:c>
      <x:c r="R6" s="90" t="str"/>
    </x:row>
    <x:row r="7" ht="36" customHeight="1">
      <x:c r="A7" s="90" t="str">
        <x:v>R003</x:v>
      </x:c>
      <x:c r="B7" s="90" t="str">
        <x:v>BlackRock</x:v>
      </x:c>
      <x:c r="C7" s="90" t="str">
        <x:v>2027 Summer Internship — Analytics &amp; Modeling</x:v>
      </x:c>
      <x:c r="D7" s="90" t="str">
        <x:v>https://careers.blackrock.com/job/new-york/2027-summer-internship-program-amers/45831/90628276544</x:v>
      </x:c>
      <x:c r="E7" s="90" t="str">
        <x:v>Verify</x:v>
      </x:c>
      <x:c r="F7" s="90" t="str">
        <x:v>Yes</x:v>
      </x:c>
      <x:c r="G7" s="90" t="str">
        <x:v>Yes</x:v>
      </x:c>
      <x:c r="H7" s="90" t="str">
        <x:v>Yes</x:v>
      </x:c>
      <x:c r="I7" s="98" t="n">
        <x:v>0.92</x:v>
      </x:c>
      <x:c r="J7" s="98" t="n">
        <x:v>0.88</x:v>
      </x:c>
      <x:c r="K7" s="90" t="str">
        <x:v>Yes</x:v>
      </x:c>
      <x:c r="L7" s="98" t="n">
        <x:v>0.25</x:v>
      </x:c>
      <x:c r="M7" s="98" t="n">
        <x:f>IFERROR(VLOOKUP(B7,'Company Ranking'!$B$5:$H$200,7,FALSE),"")</x:f>
        <x:v>0.21335</x:v>
      </x:c>
      <x:c r="N7" s="90" t="str">
        <x:f>IF(A7="","",IF(OR(E7="Yes",F7="No",G7="No",H7="No"),"SKIP",IF(E7="Verify","VERIFY","ELIGIBLE")))</x:f>
        <x:v>VERIFY</x:v>
      </x:c>
      <x:c r="O7" s="98" t="n">
        <x:f>IF(A7="","",IF(N7="SKIP",0,0.30*M7+0.25*I7+0.25*J7+0.08*IF(K7="Yes",1,0.75)+0.12*L7))</x:f>
        <x:v>0.624005</x:v>
      </x:c>
      <x:c r="P7" s="90" t="str">
        <x:f>IF(A7="","",IF(N7="SKIP","Skip",IF(N7="VERIFY","Verify CPT first",IF(O7&gt;=0.75,"Apply immediately",IF(O7&gt;=0.60,"High priority",IF(O7&gt;=0.45,"Apply","Low priority"))))))</x:f>
        <x:v>Verify CPT first</x:v>
      </x:c>
      <x:c r="Q7" s="90" t="str">
        <x:f>IF(A7="","",IF(COUNTA(I7:J7)&lt;2,"Incomplete",IF(E7="Verify","Posting verified; CPT unresolved","Posting-informed")))</x:f>
        <x:v>Posting verified; CPT unresolved</x:v>
      </x:c>
      <x:c r="R7" s="90" t="str"/>
    </x:row>
    <x:row r="8" ht="36" customHeight="1">
      <x:c r="A8" s="90" t="str">
        <x:v>R004</x:v>
      </x:c>
      <x:c r="B8" s="90" t="str">
        <x:v>Amazon</x:v>
      </x:c>
      <x:c r="C8" s="90" t="str">
        <x:v>Operations Finance Rotational Program Intern</x:v>
      </x:c>
      <x:c r="D8" s="90" t="str">
        <x:v>https://www.amazon.jobs/en/jobs/10435673/2027-amazon-operations-finance-rotational-program-summer-internship</x:v>
      </x:c>
      <x:c r="E8" s="90" t="str">
        <x:v>Verify</x:v>
      </x:c>
      <x:c r="F8" s="90" t="str">
        <x:v>Yes</x:v>
      </x:c>
      <x:c r="G8" s="90" t="str">
        <x:v>Yes</x:v>
      </x:c>
      <x:c r="H8" s="90" t="str">
        <x:v>Yes</x:v>
      </x:c>
      <x:c r="I8" s="98" t="n">
        <x:v>0.45</x:v>
      </x:c>
      <x:c r="J8" s="98" t="n">
        <x:v>0.6</x:v>
      </x:c>
      <x:c r="K8" s="90" t="str">
        <x:v>Yes</x:v>
      </x:c>
      <x:c r="L8" s="98" t="n">
        <x:v>0.2</x:v>
      </x:c>
      <x:c r="M8" s="98" t="n">
        <x:f>IFERROR(VLOOKUP(B8,'Company Ranking'!$B$5:$H$200,7,FALSE),"")</x:f>
        <x:v>0.90415</x:v>
      </x:c>
      <x:c r="N8" s="90" t="str">
        <x:f>IF(A8="","",IF(OR(E8="Yes",F8="No",G8="No",H8="No"),"SKIP",IF(E8="Verify","VERIFY","ELIGIBLE")))</x:f>
        <x:v>VERIFY</x:v>
      </x:c>
      <x:c r="O8" s="98" t="n">
        <x:f>IF(A8="","",IF(N8="SKIP",0,0.30*M8+0.25*I8+0.25*J8+0.08*IF(K8="Yes",1,0.75)+0.12*L8))</x:f>
        <x:v>0.637745</x:v>
      </x:c>
      <x:c r="P8" s="90" t="str">
        <x:f>IF(A8="","",IF(N8="SKIP","Skip",IF(N8="VERIFY","Verify CPT first",IF(O8&gt;=0.75,"Apply immediately",IF(O8&gt;=0.60,"High priority",IF(O8&gt;=0.45,"Apply","Low priority"))))))</x:f>
        <x:v>Verify CPT first</x:v>
      </x:c>
      <x:c r="Q8" s="90" t="str">
        <x:f>IF(A8="","",IF(COUNTA(I8:J8)&lt;2,"Incomplete",IF(E8="Verify","Posting verified; CPT unresolved","Posting-informed")))</x:f>
        <x:v>Posting verified; CPT unresolved</x:v>
      </x:c>
      <x:c r="R8" s="90" t="str"/>
    </x:row>
    <x:row r="9" ht="36" customHeight="1">
      <x:c r="A9" s="90" t="str"/>
      <x:c r="B9" s="90" t="str"/>
      <x:c r="C9" s="90" t="str"/>
      <x:c r="D9" s="90" t="str"/>
      <x:c r="E9" s="90" t="str"/>
      <x:c r="F9" s="90" t="str"/>
      <x:c r="G9" s="90" t="str"/>
      <x:c r="H9" s="90" t="str"/>
      <x:c r="I9" s="98" t="str"/>
      <x:c r="J9" s="98" t="str"/>
      <x:c r="K9" s="90" t="str"/>
      <x:c r="L9" s="98" t="str"/>
      <x:c r="M9" s="98" t="str">
        <x:f>IFERROR(VLOOKUP(B9,'Company Ranking'!$B$5:$H$200,7,FALSE),"")</x:f>
      </x:c>
      <x:c r="N9" s="90" t="str">
        <x:f>IF(A9="","",IF(OR(E9="Yes",F9="No",G9="No",H9="No"),"SKIP",IF(E9="Verify","VERIFY","ELIGIBLE")))</x:f>
      </x:c>
      <x:c r="O9" s="98" t="str">
        <x:f>IF(A9="","",IF(N9="SKIP",0,0.30*M9+0.25*I9+0.25*J9+0.08*IF(K9="Yes",1,0.75)+0.12*L9))</x:f>
      </x:c>
      <x:c r="P9" s="90" t="str">
        <x:f>IF(A9="","",IF(N9="SKIP","Skip",IF(N9="VERIFY","Verify CPT first",IF(O9&gt;=0.75,"Apply immediately",IF(O9&gt;=0.60,"High priority",IF(O9&gt;=0.45,"Apply","Low priority"))))))</x:f>
      </x:c>
      <x:c r="Q9" s="90" t="str">
        <x:f>IF(A9="","",IF(COUNTA(I9:J9)&lt;2,"Incomplete",IF(E9="Verify","Posting verified; CPT unresolved","Posting-informed")))</x:f>
      </x:c>
      <x:c r="R9" s="90" t="str"/>
    </x:row>
    <x:row r="10" ht="36" customHeight="1">
      <x:c r="A10" s="90" t="str"/>
      <x:c r="B10" s="90" t="str"/>
      <x:c r="C10" s="90" t="str"/>
      <x:c r="D10" s="90" t="str"/>
      <x:c r="E10" s="90" t="str"/>
      <x:c r="F10" s="90" t="str"/>
      <x:c r="G10" s="90" t="str"/>
      <x:c r="H10" s="90" t="str"/>
      <x:c r="I10" s="98" t="str"/>
      <x:c r="J10" s="98" t="str"/>
      <x:c r="K10" s="90" t="str"/>
      <x:c r="L10" s="98" t="str"/>
      <x:c r="M10" s="98" t="str">
        <x:f>IFERROR(VLOOKUP(B10,'Company Ranking'!$B$5:$H$200,7,FALSE),"")</x:f>
      </x:c>
      <x:c r="N10" s="90" t="str">
        <x:f>IF(A10="","",IF(OR(E10="Yes",F10="No",G10="No",H10="No"),"SKIP",IF(E10="Verify","VERIFY","ELIGIBLE")))</x:f>
      </x:c>
      <x:c r="O10" s="98" t="str">
        <x:f>IF(A10="","",IF(N10="SKIP",0,0.30*M10+0.25*I10+0.25*J10+0.08*IF(K10="Yes",1,0.75)+0.12*L10))</x:f>
      </x:c>
      <x:c r="P10" s="90" t="str">
        <x:f>IF(A10="","",IF(N10="SKIP","Skip",IF(N10="VERIFY","Verify CPT first",IF(O10&gt;=0.75,"Apply immediately",IF(O10&gt;=0.60,"High priority",IF(O10&gt;=0.45,"Apply","Low priority"))))))</x:f>
      </x:c>
      <x:c r="Q10" s="90" t="str">
        <x:f>IF(A10="","",IF(COUNTA(I10:J10)&lt;2,"Incomplete",IF(E10="Verify","Posting verified; CPT unresolved","Posting-informed")))</x:f>
      </x:c>
      <x:c r="R10" s="90" t="str"/>
    </x:row>
    <x:row r="11" ht="36" customHeight="1">
      <x:c r="A11" s="90" t="str"/>
      <x:c r="B11" s="90" t="str"/>
      <x:c r="C11" s="90" t="str"/>
      <x:c r="D11" s="90" t="str"/>
      <x:c r="E11" s="90" t="str"/>
      <x:c r="F11" s="90" t="str"/>
      <x:c r="G11" s="90" t="str"/>
      <x:c r="H11" s="90" t="str"/>
      <x:c r="I11" s="98" t="str"/>
      <x:c r="J11" s="98" t="str"/>
      <x:c r="K11" s="90" t="str"/>
      <x:c r="L11" s="98" t="str"/>
      <x:c r="M11" s="98" t="str">
        <x:f>IFERROR(VLOOKUP(B11,'Company Ranking'!$B$5:$H$200,7,FALSE),"")</x:f>
      </x:c>
      <x:c r="N11" s="90" t="str">
        <x:f>IF(A11="","",IF(OR(E11="Yes",F11="No",G11="No",H11="No"),"SKIP",IF(E11="Verify","VERIFY","ELIGIBLE")))</x:f>
      </x:c>
      <x:c r="O11" s="98" t="str">
        <x:f>IF(A11="","",IF(N11="SKIP",0,0.30*M11+0.25*I11+0.25*J11+0.08*IF(K11="Yes",1,0.75)+0.12*L11))</x:f>
      </x:c>
      <x:c r="P11" s="90" t="str">
        <x:f>IF(A11="","",IF(N11="SKIP","Skip",IF(N11="VERIFY","Verify CPT first",IF(O11&gt;=0.75,"Apply immediately",IF(O11&gt;=0.60,"High priority",IF(O11&gt;=0.45,"Apply","Low priority"))))))</x:f>
      </x:c>
      <x:c r="Q11" s="90" t="str">
        <x:f>IF(A11="","",IF(COUNTA(I11:J11)&lt;2,"Incomplete",IF(E11="Verify","Posting verified; CPT unresolved","Posting-informed")))</x:f>
      </x:c>
      <x:c r="R11" s="90" t="str"/>
    </x:row>
    <x:row r="12" ht="36" customHeight="1">
      <x:c r="A12" s="90" t="str"/>
      <x:c r="B12" s="90" t="str"/>
      <x:c r="C12" s="90" t="str"/>
      <x:c r="D12" s="90" t="str"/>
      <x:c r="E12" s="90" t="str"/>
      <x:c r="F12" s="90" t="str"/>
      <x:c r="G12" s="90" t="str"/>
      <x:c r="H12" s="90" t="str"/>
      <x:c r="I12" s="98" t="str"/>
      <x:c r="J12" s="98" t="str"/>
      <x:c r="K12" s="90" t="str"/>
      <x:c r="L12" s="98" t="str"/>
      <x:c r="M12" s="98" t="str">
        <x:f>IFERROR(VLOOKUP(B12,'Company Ranking'!$B$5:$H$200,7,FALSE),"")</x:f>
      </x:c>
      <x:c r="N12" s="90" t="str">
        <x:f>IF(A12="","",IF(OR(E12="Yes",F12="No",G12="No",H12="No"),"SKIP",IF(E12="Verify","VERIFY","ELIGIBLE")))</x:f>
      </x:c>
      <x:c r="O12" s="98" t="str">
        <x:f>IF(A12="","",IF(N12="SKIP",0,0.30*M12+0.25*I12+0.25*J12+0.08*IF(K12="Yes",1,0.75)+0.12*L12))</x:f>
      </x:c>
      <x:c r="P12" s="90" t="str">
        <x:f>IF(A12="","",IF(N12="SKIP","Skip",IF(N12="VERIFY","Verify CPT first",IF(O12&gt;=0.75,"Apply immediately",IF(O12&gt;=0.60,"High priority",IF(O12&gt;=0.45,"Apply","Low priority"))))))</x:f>
      </x:c>
      <x:c r="Q12" s="90" t="str">
        <x:f>IF(A12="","",IF(COUNTA(I12:J12)&lt;2,"Incomplete",IF(E12="Verify","Posting verified; CPT unresolved","Posting-informed")))</x:f>
      </x:c>
      <x:c r="R12" s="90" t="str"/>
    </x:row>
    <x:row r="13" ht="36" customHeight="1">
      <x:c r="A13" s="90" t="str"/>
      <x:c r="B13" s="90" t="str"/>
      <x:c r="C13" s="90" t="str"/>
      <x:c r="D13" s="90" t="str"/>
      <x:c r="E13" s="90" t="str"/>
      <x:c r="F13" s="90" t="str"/>
      <x:c r="G13" s="90" t="str"/>
      <x:c r="H13" s="90" t="str"/>
      <x:c r="I13" s="98" t="str"/>
      <x:c r="J13" s="98" t="str"/>
      <x:c r="K13" s="90" t="str"/>
      <x:c r="L13" s="98" t="str"/>
      <x:c r="M13" s="98" t="str">
        <x:f>IFERROR(VLOOKUP(B13,'Company Ranking'!$B$5:$H$200,7,FALSE),"")</x:f>
      </x:c>
      <x:c r="N13" s="90" t="str">
        <x:f>IF(A13="","",IF(OR(E13="Yes",F13="No",G13="No",H13="No"),"SKIP",IF(E13="Verify","VERIFY","ELIGIBLE")))</x:f>
      </x:c>
      <x:c r="O13" s="98" t="str">
        <x:f>IF(A13="","",IF(N13="SKIP",0,0.30*M13+0.25*I13+0.25*J13+0.08*IF(K13="Yes",1,0.75)+0.12*L13))</x:f>
      </x:c>
      <x:c r="P13" s="90" t="str">
        <x:f>IF(A13="","",IF(N13="SKIP","Skip",IF(N13="VERIFY","Verify CPT first",IF(O13&gt;=0.75,"Apply immediately",IF(O13&gt;=0.60,"High priority",IF(O13&gt;=0.45,"Apply","Low priority"))))))</x:f>
      </x:c>
      <x:c r="Q13" s="90" t="str">
        <x:f>IF(A13="","",IF(COUNTA(I13:J13)&lt;2,"Incomplete",IF(E13="Verify","Posting verified; CPT unresolved","Posting-informed")))</x:f>
      </x:c>
      <x:c r="R13" s="90" t="str"/>
    </x:row>
    <x:row r="14" ht="36" customHeight="1">
      <x:c r="A14" s="90" t="str"/>
      <x:c r="B14" s="90" t="str"/>
      <x:c r="C14" s="90" t="str"/>
      <x:c r="D14" s="90" t="str"/>
      <x:c r="E14" s="90" t="str"/>
      <x:c r="F14" s="90" t="str"/>
      <x:c r="G14" s="90" t="str"/>
      <x:c r="H14" s="90" t="str"/>
      <x:c r="I14" s="98" t="str"/>
      <x:c r="J14" s="98" t="str"/>
      <x:c r="K14" s="90" t="str"/>
      <x:c r="L14" s="98" t="str"/>
      <x:c r="M14" s="98" t="str">
        <x:f>IFERROR(VLOOKUP(B14,'Company Ranking'!$B$5:$H$200,7,FALSE),"")</x:f>
      </x:c>
      <x:c r="N14" s="90" t="str">
        <x:f>IF(A14="","",IF(OR(E14="Yes",F14="No",G14="No",H14="No"),"SKIP",IF(E14="Verify","VERIFY","ELIGIBLE")))</x:f>
      </x:c>
      <x:c r="O14" s="98" t="str">
        <x:f>IF(A14="","",IF(N14="SKIP",0,0.30*M14+0.25*I14+0.25*J14+0.08*IF(K14="Yes",1,0.75)+0.12*L14))</x:f>
      </x:c>
      <x:c r="P14" s="90" t="str">
        <x:f>IF(A14="","",IF(N14="SKIP","Skip",IF(N14="VERIFY","Verify CPT first",IF(O14&gt;=0.75,"Apply immediately",IF(O14&gt;=0.60,"High priority",IF(O14&gt;=0.45,"Apply","Low priority"))))))</x:f>
      </x:c>
      <x:c r="Q14" s="90" t="str">
        <x:f>IF(A14="","",IF(COUNTA(I14:J14)&lt;2,"Incomplete",IF(E14="Verify","Posting verified; CPT unresolved","Posting-informed")))</x:f>
      </x:c>
      <x:c r="R14" s="90" t="str"/>
    </x:row>
    <x:row r="15" ht="36" customHeight="1">
      <x:c r="A15" s="90" t="str"/>
      <x:c r="B15" s="90" t="str"/>
      <x:c r="C15" s="90" t="str"/>
      <x:c r="D15" s="90" t="str"/>
      <x:c r="E15" s="90" t="str"/>
      <x:c r="F15" s="90" t="str"/>
      <x:c r="G15" s="90" t="str"/>
      <x:c r="H15" s="90" t="str"/>
      <x:c r="I15" s="98" t="str"/>
      <x:c r="J15" s="98" t="str"/>
      <x:c r="K15" s="90" t="str"/>
      <x:c r="L15" s="98" t="str"/>
      <x:c r="M15" s="98" t="str">
        <x:f>IFERROR(VLOOKUP(B15,'Company Ranking'!$B$5:$H$200,7,FALSE),"")</x:f>
      </x:c>
      <x:c r="N15" s="90" t="str">
        <x:f>IF(A15="","",IF(OR(E15="Yes",F15="No",G15="No",H15="No"),"SKIP",IF(E15="Verify","VERIFY","ELIGIBLE")))</x:f>
      </x:c>
      <x:c r="O15" s="98" t="str">
        <x:f>IF(A15="","",IF(N15="SKIP",0,0.30*M15+0.25*I15+0.25*J15+0.08*IF(K15="Yes",1,0.75)+0.12*L15))</x:f>
      </x:c>
      <x:c r="P15" s="90" t="str">
        <x:f>IF(A15="","",IF(N15="SKIP","Skip",IF(N15="VERIFY","Verify CPT first",IF(O15&gt;=0.75,"Apply immediately",IF(O15&gt;=0.60,"High priority",IF(O15&gt;=0.45,"Apply","Low priority"))))))</x:f>
      </x:c>
      <x:c r="Q15" s="90" t="str">
        <x:f>IF(A15="","",IF(COUNTA(I15:J15)&lt;2,"Incomplete",IF(E15="Verify","Posting verified; CPT unresolved","Posting-informed")))</x:f>
      </x:c>
      <x:c r="R15" s="90" t="str"/>
    </x:row>
    <x:row r="16" ht="36" customHeight="1">
      <x:c r="A16" s="90" t="str"/>
      <x:c r="B16" s="90" t="str"/>
      <x:c r="C16" s="90" t="str"/>
      <x:c r="D16" s="90" t="str"/>
      <x:c r="E16" s="90" t="str"/>
      <x:c r="F16" s="90" t="str"/>
      <x:c r="G16" s="90" t="str"/>
      <x:c r="H16" s="90" t="str"/>
      <x:c r="I16" s="98" t="str"/>
      <x:c r="J16" s="98" t="str"/>
      <x:c r="K16" s="90" t="str"/>
      <x:c r="L16" s="98" t="str"/>
      <x:c r="M16" s="98" t="str">
        <x:f>IFERROR(VLOOKUP(B16,'Company Ranking'!$B$5:$H$200,7,FALSE),"")</x:f>
      </x:c>
      <x:c r="N16" s="90" t="str">
        <x:f>IF(A16="","",IF(OR(E16="Yes",F16="No",G16="No",H16="No"),"SKIP",IF(E16="Verify","VERIFY","ELIGIBLE")))</x:f>
      </x:c>
      <x:c r="O16" s="98" t="str">
        <x:f>IF(A16="","",IF(N16="SKIP",0,0.30*M16+0.25*I16+0.25*J16+0.08*IF(K16="Yes",1,0.75)+0.12*L16))</x:f>
      </x:c>
      <x:c r="P16" s="90" t="str">
        <x:f>IF(A16="","",IF(N16="SKIP","Skip",IF(N16="VERIFY","Verify CPT first",IF(O16&gt;=0.75,"Apply immediately",IF(O16&gt;=0.60,"High priority",IF(O16&gt;=0.45,"Apply","Low priority"))))))</x:f>
      </x:c>
      <x:c r="Q16" s="90" t="str">
        <x:f>IF(A16="","",IF(COUNTA(I16:J16)&lt;2,"Incomplete",IF(E16="Verify","Posting verified; CPT unresolved","Posting-informed")))</x:f>
      </x:c>
      <x:c r="R16" s="90" t="str"/>
    </x:row>
    <x:row r="17" ht="36" customHeight="1">
      <x:c r="A17" s="90" t="str"/>
      <x:c r="B17" s="90" t="str"/>
      <x:c r="C17" s="90" t="str"/>
      <x:c r="D17" s="90" t="str"/>
      <x:c r="E17" s="90" t="str"/>
      <x:c r="F17" s="90" t="str"/>
      <x:c r="G17" s="90" t="str"/>
      <x:c r="H17" s="90" t="str"/>
      <x:c r="I17" s="98" t="str"/>
      <x:c r="J17" s="98" t="str"/>
      <x:c r="K17" s="90" t="str"/>
      <x:c r="L17" s="98" t="str"/>
      <x:c r="M17" s="98" t="str">
        <x:f>IFERROR(VLOOKUP(B17,'Company Ranking'!$B$5:$H$200,7,FALSE),"")</x:f>
      </x:c>
      <x:c r="N17" s="90" t="str">
        <x:f>IF(A17="","",IF(OR(E17="Yes",F17="No",G17="No",H17="No"),"SKIP",IF(E17="Verify","VERIFY","ELIGIBLE")))</x:f>
      </x:c>
      <x:c r="O17" s="98" t="str">
        <x:f>IF(A17="","",IF(N17="SKIP",0,0.30*M17+0.25*I17+0.25*J17+0.08*IF(K17="Yes",1,0.75)+0.12*L17))</x:f>
      </x:c>
      <x:c r="P17" s="90" t="str">
        <x:f>IF(A17="","",IF(N17="SKIP","Skip",IF(N17="VERIFY","Verify CPT first",IF(O17&gt;=0.75,"Apply immediately",IF(O17&gt;=0.60,"High priority",IF(O17&gt;=0.45,"Apply","Low priority"))))))</x:f>
      </x:c>
      <x:c r="Q17" s="90" t="str">
        <x:f>IF(A17="","",IF(COUNTA(I17:J17)&lt;2,"Incomplete",IF(E17="Verify","Posting verified; CPT unresolved","Posting-informed")))</x:f>
      </x:c>
      <x:c r="R17" s="90" t="str"/>
    </x:row>
    <x:row r="18" ht="36" customHeight="1">
      <x:c r="A18" s="90" t="str"/>
      <x:c r="B18" s="90" t="str"/>
      <x:c r="C18" s="90" t="str"/>
      <x:c r="D18" s="90" t="str"/>
      <x:c r="E18" s="90" t="str"/>
      <x:c r="F18" s="90" t="str"/>
      <x:c r="G18" s="90" t="str"/>
      <x:c r="H18" s="90" t="str"/>
      <x:c r="I18" s="98" t="str"/>
      <x:c r="J18" s="98" t="str"/>
      <x:c r="K18" s="90" t="str"/>
      <x:c r="L18" s="98" t="str"/>
      <x:c r="M18" s="98" t="str">
        <x:f>IFERROR(VLOOKUP(B18,'Company Ranking'!$B$5:$H$200,7,FALSE),"")</x:f>
      </x:c>
      <x:c r="N18" s="90" t="str">
        <x:f>IF(A18="","",IF(OR(E18="Yes",F18="No",G18="No",H18="No"),"SKIP",IF(E18="Verify","VERIFY","ELIGIBLE")))</x:f>
      </x:c>
      <x:c r="O18" s="98" t="str">
        <x:f>IF(A18="","",IF(N18="SKIP",0,0.30*M18+0.25*I18+0.25*J18+0.08*IF(K18="Yes",1,0.75)+0.12*L18))</x:f>
      </x:c>
      <x:c r="P18" s="90" t="str">
        <x:f>IF(A18="","",IF(N18="SKIP","Skip",IF(N18="VERIFY","Verify CPT first",IF(O18&gt;=0.75,"Apply immediately",IF(O18&gt;=0.60,"High priority",IF(O18&gt;=0.45,"Apply","Low priority"))))))</x:f>
      </x:c>
      <x:c r="Q18" s="90" t="str">
        <x:f>IF(A18="","",IF(COUNTA(I18:J18)&lt;2,"Incomplete",IF(E18="Verify","Posting verified; CPT unresolved","Posting-informed")))</x:f>
      </x:c>
      <x:c r="R18" s="90" t="str"/>
    </x:row>
    <x:row r="19" ht="36" customHeight="1">
      <x:c r="A19" s="90" t="str"/>
      <x:c r="B19" s="90" t="str"/>
      <x:c r="C19" s="90" t="str"/>
      <x:c r="D19" s="90" t="str"/>
      <x:c r="E19" s="90" t="str"/>
      <x:c r="F19" s="90" t="str"/>
      <x:c r="G19" s="90" t="str"/>
      <x:c r="H19" s="90" t="str"/>
      <x:c r="I19" s="98" t="str"/>
      <x:c r="J19" s="98" t="str"/>
      <x:c r="K19" s="90" t="str"/>
      <x:c r="L19" s="98" t="str"/>
      <x:c r="M19" s="98" t="str">
        <x:f>IFERROR(VLOOKUP(B19,'Company Ranking'!$B$5:$H$200,7,FALSE),"")</x:f>
      </x:c>
      <x:c r="N19" s="90" t="str">
        <x:f>IF(A19="","",IF(OR(E19="Yes",F19="No",G19="No",H19="No"),"SKIP",IF(E19="Verify","VERIFY","ELIGIBLE")))</x:f>
      </x:c>
      <x:c r="O19" s="98" t="str">
        <x:f>IF(A19="","",IF(N19="SKIP",0,0.30*M19+0.25*I19+0.25*J19+0.08*IF(K19="Yes",1,0.75)+0.12*L19))</x:f>
      </x:c>
      <x:c r="P19" s="90" t="str">
        <x:f>IF(A19="","",IF(N19="SKIP","Skip",IF(N19="VERIFY","Verify CPT first",IF(O19&gt;=0.75,"Apply immediately",IF(O19&gt;=0.60,"High priority",IF(O19&gt;=0.45,"Apply","Low priority"))))))</x:f>
      </x:c>
      <x:c r="Q19" s="90" t="str">
        <x:f>IF(A19="","",IF(COUNTA(I19:J19)&lt;2,"Incomplete",IF(E19="Verify","Posting verified; CPT unresolved","Posting-informed")))</x:f>
      </x:c>
      <x:c r="R19" s="90" t="str"/>
    </x:row>
    <x:row r="20" ht="36" customHeight="1">
      <x:c r="A20" s="90" t="str"/>
      <x:c r="B20" s="90" t="str"/>
      <x:c r="C20" s="90" t="str"/>
      <x:c r="D20" s="90" t="str"/>
      <x:c r="E20" s="90" t="str"/>
      <x:c r="F20" s="90" t="str"/>
      <x:c r="G20" s="90" t="str"/>
      <x:c r="H20" s="90" t="str"/>
      <x:c r="I20" s="98" t="str"/>
      <x:c r="J20" s="98" t="str"/>
      <x:c r="K20" s="90" t="str"/>
      <x:c r="L20" s="98" t="str"/>
      <x:c r="M20" s="98" t="str">
        <x:f>IFERROR(VLOOKUP(B20,'Company Ranking'!$B$5:$H$200,7,FALSE),"")</x:f>
      </x:c>
      <x:c r="N20" s="90" t="str">
        <x:f>IF(A20="","",IF(OR(E20="Yes",F20="No",G20="No",H20="No"),"SKIP",IF(E20="Verify","VERIFY","ELIGIBLE")))</x:f>
      </x:c>
      <x:c r="O20" s="98" t="str">
        <x:f>IF(A20="","",IF(N20="SKIP",0,0.30*M20+0.25*I20+0.25*J20+0.08*IF(K20="Yes",1,0.75)+0.12*L20))</x:f>
      </x:c>
      <x:c r="P20" s="90" t="str">
        <x:f>IF(A20="","",IF(N20="SKIP","Skip",IF(N20="VERIFY","Verify CPT first",IF(O20&gt;=0.75,"Apply immediately",IF(O20&gt;=0.60,"High priority",IF(O20&gt;=0.45,"Apply","Low priority"))))))</x:f>
      </x:c>
      <x:c r="Q20" s="90" t="str">
        <x:f>IF(A20="","",IF(COUNTA(I20:J20)&lt;2,"Incomplete",IF(E20="Verify","Posting verified; CPT unresolved","Posting-informed")))</x:f>
      </x:c>
      <x:c r="R20" s="90" t="str"/>
    </x:row>
    <x:row r="21" ht="36" customHeight="1">
      <x:c r="A21" s="90" t="str"/>
      <x:c r="B21" s="90" t="str"/>
      <x:c r="C21" s="90" t="str"/>
      <x:c r="D21" s="90" t="str"/>
      <x:c r="E21" s="90" t="str"/>
      <x:c r="F21" s="90" t="str"/>
      <x:c r="G21" s="90" t="str"/>
      <x:c r="H21" s="90" t="str"/>
      <x:c r="I21" s="98" t="str"/>
      <x:c r="J21" s="98" t="str"/>
      <x:c r="K21" s="90" t="str"/>
      <x:c r="L21" s="98" t="str"/>
      <x:c r="M21" s="98" t="str">
        <x:f>IFERROR(VLOOKUP(B21,'Company Ranking'!$B$5:$H$200,7,FALSE),"")</x:f>
      </x:c>
      <x:c r="N21" s="90" t="str">
        <x:f>IF(A21="","",IF(OR(E21="Yes",F21="No",G21="No",H21="No"),"SKIP",IF(E21="Verify","VERIFY","ELIGIBLE")))</x:f>
      </x:c>
      <x:c r="O21" s="98" t="str">
        <x:f>IF(A21="","",IF(N21="SKIP",0,0.30*M21+0.25*I21+0.25*J21+0.08*IF(K21="Yes",1,0.75)+0.12*L21))</x:f>
      </x:c>
      <x:c r="P21" s="90" t="str">
        <x:f>IF(A21="","",IF(N21="SKIP","Skip",IF(N21="VERIFY","Verify CPT first",IF(O21&gt;=0.75,"Apply immediately",IF(O21&gt;=0.60,"High priority",IF(O21&gt;=0.45,"Apply","Low priority"))))))</x:f>
      </x:c>
      <x:c r="Q21" s="90" t="str">
        <x:f>IF(A21="","",IF(COUNTA(I21:J21)&lt;2,"Incomplete",IF(E21="Verify","Posting verified; CPT unresolved","Posting-informed")))</x:f>
      </x:c>
      <x:c r="R21" s="90" t="str"/>
    </x:row>
    <x:row r="22" ht="36" customHeight="1">
      <x:c r="A22" s="90" t="str"/>
      <x:c r="B22" s="90" t="str"/>
      <x:c r="C22" s="90" t="str"/>
      <x:c r="D22" s="90" t="str"/>
      <x:c r="E22" s="90" t="str"/>
      <x:c r="F22" s="90" t="str"/>
      <x:c r="G22" s="90" t="str"/>
      <x:c r="H22" s="90" t="str"/>
      <x:c r="I22" s="98" t="str"/>
      <x:c r="J22" s="98" t="str"/>
      <x:c r="K22" s="90" t="str"/>
      <x:c r="L22" s="98" t="str"/>
      <x:c r="M22" s="98" t="str">
        <x:f>IFERROR(VLOOKUP(B22,'Company Ranking'!$B$5:$H$200,7,FALSE),"")</x:f>
      </x:c>
      <x:c r="N22" s="90" t="str">
        <x:f>IF(A22="","",IF(OR(E22="Yes",F22="No",G22="No",H22="No"),"SKIP",IF(E22="Verify","VERIFY","ELIGIBLE")))</x:f>
      </x:c>
      <x:c r="O22" s="98" t="str">
        <x:f>IF(A22="","",IF(N22="SKIP",0,0.30*M22+0.25*I22+0.25*J22+0.08*IF(K22="Yes",1,0.75)+0.12*L22))</x:f>
      </x:c>
      <x:c r="P22" s="90" t="str">
        <x:f>IF(A22="","",IF(N22="SKIP","Skip",IF(N22="VERIFY","Verify CPT first",IF(O22&gt;=0.75,"Apply immediately",IF(O22&gt;=0.60,"High priority",IF(O22&gt;=0.45,"Apply","Low priority"))))))</x:f>
      </x:c>
      <x:c r="Q22" s="90" t="str">
        <x:f>IF(A22="","",IF(COUNTA(I22:J22)&lt;2,"Incomplete",IF(E22="Verify","Posting verified; CPT unresolved","Posting-informed")))</x:f>
      </x:c>
      <x:c r="R22" s="90" t="str"/>
    </x:row>
    <x:row r="23" ht="36" customHeight="1">
      <x:c r="A23" s="90" t="str"/>
      <x:c r="B23" s="90" t="str"/>
      <x:c r="C23" s="90" t="str"/>
      <x:c r="D23" s="90" t="str"/>
      <x:c r="E23" s="90" t="str"/>
      <x:c r="F23" s="90" t="str"/>
      <x:c r="G23" s="90" t="str"/>
      <x:c r="H23" s="90" t="str"/>
      <x:c r="I23" s="98" t="str"/>
      <x:c r="J23" s="98" t="str"/>
      <x:c r="K23" s="90" t="str"/>
      <x:c r="L23" s="98" t="str"/>
      <x:c r="M23" s="98" t="str">
        <x:f>IFERROR(VLOOKUP(B23,'Company Ranking'!$B$5:$H$200,7,FALSE),"")</x:f>
      </x:c>
      <x:c r="N23" s="90" t="str">
        <x:f>IF(A23="","",IF(OR(E23="Yes",F23="No",G23="No",H23="No"),"SKIP",IF(E23="Verify","VERIFY","ELIGIBLE")))</x:f>
      </x:c>
      <x:c r="O23" s="98" t="str">
        <x:f>IF(A23="","",IF(N23="SKIP",0,0.30*M23+0.25*I23+0.25*J23+0.08*IF(K23="Yes",1,0.75)+0.12*L23))</x:f>
      </x:c>
      <x:c r="P23" s="90" t="str">
        <x:f>IF(A23="","",IF(N23="SKIP","Skip",IF(N23="VERIFY","Verify CPT first",IF(O23&gt;=0.75,"Apply immediately",IF(O23&gt;=0.60,"High priority",IF(O23&gt;=0.45,"Apply","Low priority"))))))</x:f>
      </x:c>
      <x:c r="Q23" s="90" t="str">
        <x:f>IF(A23="","",IF(COUNTA(I23:J23)&lt;2,"Incomplete",IF(E23="Verify","Posting verified; CPT unresolved","Posting-informed")))</x:f>
      </x:c>
      <x:c r="R23" s="90" t="str"/>
    </x:row>
    <x:row r="24" ht="36" customHeight="1">
      <x:c r="A24" s="90" t="str"/>
      <x:c r="B24" s="90" t="str"/>
      <x:c r="C24" s="90" t="str"/>
      <x:c r="D24" s="90" t="str"/>
      <x:c r="E24" s="90" t="str"/>
      <x:c r="F24" s="90" t="str"/>
      <x:c r="G24" s="90" t="str"/>
      <x:c r="H24" s="90" t="str"/>
      <x:c r="I24" s="98" t="str"/>
      <x:c r="J24" s="98" t="str"/>
      <x:c r="K24" s="90" t="str"/>
      <x:c r="L24" s="98" t="str"/>
      <x:c r="M24" s="98" t="str">
        <x:f>IFERROR(VLOOKUP(B24,'Company Ranking'!$B$5:$H$200,7,FALSE),"")</x:f>
      </x:c>
      <x:c r="N24" s="90" t="str">
        <x:f>IF(A24="","",IF(OR(E24="Yes",F24="No",G24="No",H24="No"),"SKIP",IF(E24="Verify","VERIFY","ELIGIBLE")))</x:f>
      </x:c>
      <x:c r="O24" s="98" t="str">
        <x:f>IF(A24="","",IF(N24="SKIP",0,0.30*M24+0.25*I24+0.25*J24+0.08*IF(K24="Yes",1,0.75)+0.12*L24))</x:f>
      </x:c>
      <x:c r="P24" s="90" t="str">
        <x:f>IF(A24="","",IF(N24="SKIP","Skip",IF(N24="VERIFY","Verify CPT first",IF(O24&gt;=0.75,"Apply immediately",IF(O24&gt;=0.60,"High priority",IF(O24&gt;=0.45,"Apply","Low priority"))))))</x:f>
      </x:c>
      <x:c r="Q24" s="90" t="str">
        <x:f>IF(A24="","",IF(COUNTA(I24:J24)&lt;2,"Incomplete",IF(E24="Verify","Posting verified; CPT unresolved","Posting-informed")))</x:f>
      </x:c>
      <x:c r="R24" s="90" t="str"/>
    </x:row>
    <x:row r="25" ht="36" customHeight="1">
      <x:c r="A25" s="90" t="str"/>
      <x:c r="B25" s="90" t="str"/>
      <x:c r="C25" s="90" t="str"/>
      <x:c r="D25" s="90" t="str"/>
      <x:c r="E25" s="90" t="str"/>
      <x:c r="F25" s="90" t="str"/>
      <x:c r="G25" s="90" t="str"/>
      <x:c r="H25" s="90" t="str"/>
      <x:c r="I25" s="98" t="str"/>
      <x:c r="J25" s="98" t="str"/>
      <x:c r="K25" s="90" t="str"/>
      <x:c r="L25" s="98" t="str"/>
      <x:c r="M25" s="98" t="str">
        <x:f>IFERROR(VLOOKUP(B25,'Company Ranking'!$B$5:$H$200,7,FALSE),"")</x:f>
      </x:c>
      <x:c r="N25" s="90" t="str">
        <x:f>IF(A25="","",IF(OR(E25="Yes",F25="No",G25="No",H25="No"),"SKIP",IF(E25="Verify","VERIFY","ELIGIBLE")))</x:f>
      </x:c>
      <x:c r="O25" s="98" t="str">
        <x:f>IF(A25="","",IF(N25="SKIP",0,0.30*M25+0.25*I25+0.25*J25+0.08*IF(K25="Yes",1,0.75)+0.12*L25))</x:f>
      </x:c>
      <x:c r="P25" s="90" t="str">
        <x:f>IF(A25="","",IF(N25="SKIP","Skip",IF(N25="VERIFY","Verify CPT first",IF(O25&gt;=0.75,"Apply immediately",IF(O25&gt;=0.60,"High priority",IF(O25&gt;=0.45,"Apply","Low priority"))))))</x:f>
      </x:c>
      <x:c r="Q25" s="90" t="str">
        <x:f>IF(A25="","",IF(COUNTA(I25:J25)&lt;2,"Incomplete",IF(E25="Verify","Posting verified; CPT unresolved","Posting-informed")))</x:f>
      </x:c>
      <x:c r="R25" s="90" t="str"/>
    </x:row>
    <x:row r="26" ht="36" customHeight="1">
      <x:c r="A26" s="90" t="str"/>
      <x:c r="B26" s="90" t="str"/>
      <x:c r="C26" s="90" t="str"/>
      <x:c r="D26" s="90" t="str"/>
      <x:c r="E26" s="90" t="str"/>
      <x:c r="F26" s="90" t="str"/>
      <x:c r="G26" s="90" t="str"/>
      <x:c r="H26" s="90" t="str"/>
      <x:c r="I26" s="98" t="str"/>
      <x:c r="J26" s="98" t="str"/>
      <x:c r="K26" s="90" t="str"/>
      <x:c r="L26" s="98" t="str"/>
      <x:c r="M26" s="98" t="str">
        <x:f>IFERROR(VLOOKUP(B26,'Company Ranking'!$B$5:$H$200,7,FALSE),"")</x:f>
      </x:c>
      <x:c r="N26" s="90" t="str">
        <x:f>IF(A26="","",IF(OR(E26="Yes",F26="No",G26="No",H26="No"),"SKIP",IF(E26="Verify","VERIFY","ELIGIBLE")))</x:f>
      </x:c>
      <x:c r="O26" s="98" t="str">
        <x:f>IF(A26="","",IF(N26="SKIP",0,0.30*M26+0.25*I26+0.25*J26+0.08*IF(K26="Yes",1,0.75)+0.12*L26))</x:f>
      </x:c>
      <x:c r="P26" s="90" t="str">
        <x:f>IF(A26="","",IF(N26="SKIP","Skip",IF(N26="VERIFY","Verify CPT first",IF(O26&gt;=0.75,"Apply immediately",IF(O26&gt;=0.60,"High priority",IF(O26&gt;=0.45,"Apply","Low priority"))))))</x:f>
      </x:c>
      <x:c r="Q26" s="90" t="str">
        <x:f>IF(A26="","",IF(COUNTA(I26:J26)&lt;2,"Incomplete",IF(E26="Verify","Posting verified; CPT unresolved","Posting-informed")))</x:f>
      </x:c>
      <x:c r="R26" s="90" t="str"/>
    </x:row>
    <x:row r="27" ht="36" customHeight="1">
      <x:c r="A27" s="90" t="str"/>
      <x:c r="B27" s="90" t="str"/>
      <x:c r="C27" s="90" t="str"/>
      <x:c r="D27" s="90" t="str"/>
      <x:c r="E27" s="90" t="str"/>
      <x:c r="F27" s="90" t="str"/>
      <x:c r="G27" s="90" t="str"/>
      <x:c r="H27" s="90" t="str"/>
      <x:c r="I27" s="98" t="str"/>
      <x:c r="J27" s="98" t="str"/>
      <x:c r="K27" s="90" t="str"/>
      <x:c r="L27" s="98" t="str"/>
      <x:c r="M27" s="98" t="str">
        <x:f>IFERROR(VLOOKUP(B27,'Company Ranking'!$B$5:$H$200,7,FALSE),"")</x:f>
      </x:c>
      <x:c r="N27" s="90" t="str">
        <x:f>IF(A27="","",IF(OR(E27="Yes",F27="No",G27="No",H27="No"),"SKIP",IF(E27="Verify","VERIFY","ELIGIBLE")))</x:f>
      </x:c>
      <x:c r="O27" s="98" t="str">
        <x:f>IF(A27="","",IF(N27="SKIP",0,0.30*M27+0.25*I27+0.25*J27+0.08*IF(K27="Yes",1,0.75)+0.12*L27))</x:f>
      </x:c>
      <x:c r="P27" s="90" t="str">
        <x:f>IF(A27="","",IF(N27="SKIP","Skip",IF(N27="VERIFY","Verify CPT first",IF(O27&gt;=0.75,"Apply immediately",IF(O27&gt;=0.60,"High priority",IF(O27&gt;=0.45,"Apply","Low priority"))))))</x:f>
      </x:c>
      <x:c r="Q27" s="90" t="str">
        <x:f>IF(A27="","",IF(COUNTA(I27:J27)&lt;2,"Incomplete",IF(E27="Verify","Posting verified; CPT unresolved","Posting-informed")))</x:f>
      </x:c>
      <x:c r="R27" s="90" t="str"/>
    </x:row>
    <x:row r="28" ht="36" customHeight="1">
      <x:c r="A28" s="90" t="str"/>
      <x:c r="B28" s="90" t="str"/>
      <x:c r="C28" s="90" t="str"/>
      <x:c r="D28" s="90" t="str"/>
      <x:c r="E28" s="90" t="str"/>
      <x:c r="F28" s="90" t="str"/>
      <x:c r="G28" s="90" t="str"/>
      <x:c r="H28" s="90" t="str"/>
      <x:c r="I28" s="98" t="str"/>
      <x:c r="J28" s="98" t="str"/>
      <x:c r="K28" s="90" t="str"/>
      <x:c r="L28" s="98" t="str"/>
      <x:c r="M28" s="98" t="str">
        <x:f>IFERROR(VLOOKUP(B28,'Company Ranking'!$B$5:$H$200,7,FALSE),"")</x:f>
      </x:c>
      <x:c r="N28" s="90" t="str">
        <x:f>IF(A28="","",IF(OR(E28="Yes",F28="No",G28="No",H28="No"),"SKIP",IF(E28="Verify","VERIFY","ELIGIBLE")))</x:f>
      </x:c>
      <x:c r="O28" s="98" t="str">
        <x:f>IF(A28="","",IF(N28="SKIP",0,0.30*M28+0.25*I28+0.25*J28+0.08*IF(K28="Yes",1,0.75)+0.12*L28))</x:f>
      </x:c>
      <x:c r="P28" s="90" t="str">
        <x:f>IF(A28="","",IF(N28="SKIP","Skip",IF(N28="VERIFY","Verify CPT first",IF(O28&gt;=0.75,"Apply immediately",IF(O28&gt;=0.60,"High priority",IF(O28&gt;=0.45,"Apply","Low priority"))))))</x:f>
      </x:c>
      <x:c r="Q28" s="90" t="str">
        <x:f>IF(A28="","",IF(COUNTA(I28:J28)&lt;2,"Incomplete",IF(E28="Verify","Posting verified; CPT unresolved","Posting-informed")))</x:f>
      </x:c>
      <x:c r="R28" s="90" t="str"/>
    </x:row>
    <x:row r="29" ht="36" customHeight="1">
      <x:c r="A29" s="90" t="str"/>
      <x:c r="B29" s="90" t="str"/>
      <x:c r="C29" s="90" t="str"/>
      <x:c r="D29" s="90" t="str"/>
      <x:c r="E29" s="90" t="str"/>
      <x:c r="F29" s="90" t="str"/>
      <x:c r="G29" s="90" t="str"/>
      <x:c r="H29" s="90" t="str"/>
      <x:c r="I29" s="98" t="str"/>
      <x:c r="J29" s="98" t="str"/>
      <x:c r="K29" s="90" t="str"/>
      <x:c r="L29" s="98" t="str"/>
      <x:c r="M29" s="98" t="str">
        <x:f>IFERROR(VLOOKUP(B29,'Company Ranking'!$B$5:$H$200,7,FALSE),"")</x:f>
      </x:c>
      <x:c r="N29" s="90" t="str">
        <x:f>IF(A29="","",IF(OR(E29="Yes",F29="No",G29="No",H29="No"),"SKIP",IF(E29="Verify","VERIFY","ELIGIBLE")))</x:f>
      </x:c>
      <x:c r="O29" s="98" t="str">
        <x:f>IF(A29="","",IF(N29="SKIP",0,0.30*M29+0.25*I29+0.25*J29+0.08*IF(K29="Yes",1,0.75)+0.12*L29))</x:f>
      </x:c>
      <x:c r="P29" s="90" t="str">
        <x:f>IF(A29="","",IF(N29="SKIP","Skip",IF(N29="VERIFY","Verify CPT first",IF(O29&gt;=0.75,"Apply immediately",IF(O29&gt;=0.60,"High priority",IF(O29&gt;=0.45,"Apply","Low priority"))))))</x:f>
      </x:c>
      <x:c r="Q29" s="90" t="str">
        <x:f>IF(A29="","",IF(COUNTA(I29:J29)&lt;2,"Incomplete",IF(E29="Verify","Posting verified; CPT unresolved","Posting-informed")))</x:f>
      </x:c>
      <x:c r="R29" s="90" t="str"/>
    </x:row>
    <x:row r="30" ht="36" customHeight="1">
      <x:c r="A30" s="90" t="str"/>
      <x:c r="B30" s="90" t="str"/>
      <x:c r="C30" s="90" t="str"/>
      <x:c r="D30" s="90" t="str"/>
      <x:c r="E30" s="90" t="str"/>
      <x:c r="F30" s="90" t="str"/>
      <x:c r="G30" s="90" t="str"/>
      <x:c r="H30" s="90" t="str"/>
      <x:c r="I30" s="98" t="str"/>
      <x:c r="J30" s="98" t="str"/>
      <x:c r="K30" s="90" t="str"/>
      <x:c r="L30" s="98" t="str"/>
      <x:c r="M30" s="98" t="str">
        <x:f>IFERROR(VLOOKUP(B30,'Company Ranking'!$B$5:$H$200,7,FALSE),"")</x:f>
      </x:c>
      <x:c r="N30" s="90" t="str">
        <x:f>IF(A30="","",IF(OR(E30="Yes",F30="No",G30="No",H30="No"),"SKIP",IF(E30="Verify","VERIFY","ELIGIBLE")))</x:f>
      </x:c>
      <x:c r="O30" s="98" t="str">
        <x:f>IF(A30="","",IF(N30="SKIP",0,0.30*M30+0.25*I30+0.25*J30+0.08*IF(K30="Yes",1,0.75)+0.12*L30))</x:f>
      </x:c>
      <x:c r="P30" s="90" t="str">
        <x:f>IF(A30="","",IF(N30="SKIP","Skip",IF(N30="VERIFY","Verify CPT first",IF(O30&gt;=0.75,"Apply immediately",IF(O30&gt;=0.60,"High priority",IF(O30&gt;=0.45,"Apply","Low priority"))))))</x:f>
      </x:c>
      <x:c r="Q30" s="90" t="str">
        <x:f>IF(A30="","",IF(COUNTA(I30:J30)&lt;2,"Incomplete",IF(E30="Verify","Posting verified; CPT unresolved","Posting-informed")))</x:f>
      </x:c>
      <x:c r="R30" s="90" t="str"/>
    </x:row>
    <x:row r="31" ht="36" customHeight="1">
      <x:c r="A31" s="90" t="str"/>
      <x:c r="B31" s="90" t="str"/>
      <x:c r="C31" s="90" t="str"/>
      <x:c r="D31" s="90" t="str"/>
      <x:c r="E31" s="90" t="str"/>
      <x:c r="F31" s="90" t="str"/>
      <x:c r="G31" s="90" t="str"/>
      <x:c r="H31" s="90" t="str"/>
      <x:c r="I31" s="98" t="str"/>
      <x:c r="J31" s="98" t="str"/>
      <x:c r="K31" s="90" t="str"/>
      <x:c r="L31" s="98" t="str"/>
      <x:c r="M31" s="98" t="str">
        <x:f>IFERROR(VLOOKUP(B31,'Company Ranking'!$B$5:$H$200,7,FALSE),"")</x:f>
      </x:c>
      <x:c r="N31" s="90" t="str">
        <x:f>IF(A31="","",IF(OR(E31="Yes",F31="No",G31="No",H31="No"),"SKIP",IF(E31="Verify","VERIFY","ELIGIBLE")))</x:f>
      </x:c>
      <x:c r="O31" s="98" t="str">
        <x:f>IF(A31="","",IF(N31="SKIP",0,0.30*M31+0.25*I31+0.25*J31+0.08*IF(K31="Yes",1,0.75)+0.12*L31))</x:f>
      </x:c>
      <x:c r="P31" s="90" t="str">
        <x:f>IF(A31="","",IF(N31="SKIP","Skip",IF(N31="VERIFY","Verify CPT first",IF(O31&gt;=0.75,"Apply immediately",IF(O31&gt;=0.60,"High priority",IF(O31&gt;=0.45,"Apply","Low priority"))))))</x:f>
      </x:c>
      <x:c r="Q31" s="90" t="str">
        <x:f>IF(A31="","",IF(COUNTA(I31:J31)&lt;2,"Incomplete",IF(E31="Verify","Posting verified; CPT unresolved","Posting-informed")))</x:f>
      </x:c>
      <x:c r="R31" s="90" t="str"/>
    </x:row>
    <x:row r="32" ht="36" customHeight="1">
      <x:c r="A32" s="90" t="str"/>
      <x:c r="B32" s="90" t="str"/>
      <x:c r="C32" s="90" t="str"/>
      <x:c r="D32" s="90" t="str"/>
      <x:c r="E32" s="90" t="str"/>
      <x:c r="F32" s="90" t="str"/>
      <x:c r="G32" s="90" t="str"/>
      <x:c r="H32" s="90" t="str"/>
      <x:c r="I32" s="98" t="str"/>
      <x:c r="J32" s="98" t="str"/>
      <x:c r="K32" s="90" t="str"/>
      <x:c r="L32" s="98" t="str"/>
      <x:c r="M32" s="98" t="str">
        <x:f>IFERROR(VLOOKUP(B32,'Company Ranking'!$B$5:$H$200,7,FALSE),"")</x:f>
      </x:c>
      <x:c r="N32" s="90" t="str">
        <x:f>IF(A32="","",IF(OR(E32="Yes",F32="No",G32="No",H32="No"),"SKIP",IF(E32="Verify","VERIFY","ELIGIBLE")))</x:f>
      </x:c>
      <x:c r="O32" s="98" t="str">
        <x:f>IF(A32="","",IF(N32="SKIP",0,0.30*M32+0.25*I32+0.25*J32+0.08*IF(K32="Yes",1,0.75)+0.12*L32))</x:f>
      </x:c>
      <x:c r="P32" s="90" t="str">
        <x:f>IF(A32="","",IF(N32="SKIP","Skip",IF(N32="VERIFY","Verify CPT first",IF(O32&gt;=0.75,"Apply immediately",IF(O32&gt;=0.60,"High priority",IF(O32&gt;=0.45,"Apply","Low priority"))))))</x:f>
      </x:c>
      <x:c r="Q32" s="90" t="str">
        <x:f>IF(A32="","",IF(COUNTA(I32:J32)&lt;2,"Incomplete",IF(E32="Verify","Posting verified; CPT unresolved","Posting-informed")))</x:f>
      </x:c>
      <x:c r="R32" s="90" t="str"/>
    </x:row>
    <x:row r="33" ht="36" customHeight="1">
      <x:c r="A33" s="90" t="str"/>
      <x:c r="B33" s="90" t="str"/>
      <x:c r="C33" s="90" t="str"/>
      <x:c r="D33" s="90" t="str"/>
      <x:c r="E33" s="90" t="str"/>
      <x:c r="F33" s="90" t="str"/>
      <x:c r="G33" s="90" t="str"/>
      <x:c r="H33" s="90" t="str"/>
      <x:c r="I33" s="98" t="str"/>
      <x:c r="J33" s="98" t="str"/>
      <x:c r="K33" s="90" t="str"/>
      <x:c r="L33" s="98" t="str"/>
      <x:c r="M33" s="98" t="str">
        <x:f>IFERROR(VLOOKUP(B33,'Company Ranking'!$B$5:$H$200,7,FALSE),"")</x:f>
      </x:c>
      <x:c r="N33" s="90" t="str">
        <x:f>IF(A33="","",IF(OR(E33="Yes",F33="No",G33="No",H33="No"),"SKIP",IF(E33="Verify","VERIFY","ELIGIBLE")))</x:f>
      </x:c>
      <x:c r="O33" s="98" t="str">
        <x:f>IF(A33="","",IF(N33="SKIP",0,0.30*M33+0.25*I33+0.25*J33+0.08*IF(K33="Yes",1,0.75)+0.12*L33))</x:f>
      </x:c>
      <x:c r="P33" s="90" t="str">
        <x:f>IF(A33="","",IF(N33="SKIP","Skip",IF(N33="VERIFY","Verify CPT first",IF(O33&gt;=0.75,"Apply immediately",IF(O33&gt;=0.60,"High priority",IF(O33&gt;=0.45,"Apply","Low priority"))))))</x:f>
      </x:c>
      <x:c r="Q33" s="90" t="str">
        <x:f>IF(A33="","",IF(COUNTA(I33:J33)&lt;2,"Incomplete",IF(E33="Verify","Posting verified; CPT unresolved","Posting-informed")))</x:f>
      </x:c>
      <x:c r="R33" s="90" t="str"/>
    </x:row>
    <x:row r="34" ht="36" customHeight="1">
      <x:c r="A34" s="90" t="str"/>
      <x:c r="B34" s="90" t="str"/>
      <x:c r="C34" s="90" t="str"/>
      <x:c r="D34" s="90" t="str"/>
      <x:c r="E34" s="90" t="str"/>
      <x:c r="F34" s="90" t="str"/>
      <x:c r="G34" s="90" t="str"/>
      <x:c r="H34" s="90" t="str"/>
      <x:c r="I34" s="98" t="str"/>
      <x:c r="J34" s="98" t="str"/>
      <x:c r="K34" s="90" t="str"/>
      <x:c r="L34" s="98" t="str"/>
      <x:c r="M34" s="98" t="str">
        <x:f>IFERROR(VLOOKUP(B34,'Company Ranking'!$B$5:$H$200,7,FALSE),"")</x:f>
      </x:c>
      <x:c r="N34" s="90" t="str">
        <x:f>IF(A34="","",IF(OR(E34="Yes",F34="No",G34="No",H34="No"),"SKIP",IF(E34="Verify","VERIFY","ELIGIBLE")))</x:f>
      </x:c>
      <x:c r="O34" s="98" t="str">
        <x:f>IF(A34="","",IF(N34="SKIP",0,0.30*M34+0.25*I34+0.25*J34+0.08*IF(K34="Yes",1,0.75)+0.12*L34))</x:f>
      </x:c>
      <x:c r="P34" s="90" t="str">
        <x:f>IF(A34="","",IF(N34="SKIP","Skip",IF(N34="VERIFY","Verify CPT first",IF(O34&gt;=0.75,"Apply immediately",IF(O34&gt;=0.60,"High priority",IF(O34&gt;=0.45,"Apply","Low priority"))))))</x:f>
      </x:c>
      <x:c r="Q34" s="90" t="str">
        <x:f>IF(A34="","",IF(COUNTA(I34:J34)&lt;2,"Incomplete",IF(E34="Verify","Posting verified; CPT unresolved","Posting-informed")))</x:f>
      </x:c>
      <x:c r="R34" s="90" t="str"/>
    </x:row>
    <x:row r="35" ht="36" customHeight="1">
      <x:c r="A35" s="90" t="str"/>
      <x:c r="B35" s="90" t="str"/>
      <x:c r="C35" s="90" t="str"/>
      <x:c r="D35" s="90" t="str"/>
      <x:c r="E35" s="90" t="str"/>
      <x:c r="F35" s="90" t="str"/>
      <x:c r="G35" s="90" t="str"/>
      <x:c r="H35" s="90" t="str"/>
      <x:c r="I35" s="98" t="str"/>
      <x:c r="J35" s="98" t="str"/>
      <x:c r="K35" s="90" t="str"/>
      <x:c r="L35" s="98" t="str"/>
      <x:c r="M35" s="98" t="str">
        <x:f>IFERROR(VLOOKUP(B35,'Company Ranking'!$B$5:$H$200,7,FALSE),"")</x:f>
      </x:c>
      <x:c r="N35" s="90" t="str">
        <x:f>IF(A35="","",IF(OR(E35="Yes",F35="No",G35="No",H35="No"),"SKIP",IF(E35="Verify","VERIFY","ELIGIBLE")))</x:f>
      </x:c>
      <x:c r="O35" s="98" t="str">
        <x:f>IF(A35="","",IF(N35="SKIP",0,0.30*M35+0.25*I35+0.25*J35+0.08*IF(K35="Yes",1,0.75)+0.12*L35))</x:f>
      </x:c>
      <x:c r="P35" s="90" t="str">
        <x:f>IF(A35="","",IF(N35="SKIP","Skip",IF(N35="VERIFY","Verify CPT first",IF(O35&gt;=0.75,"Apply immediately",IF(O35&gt;=0.60,"High priority",IF(O35&gt;=0.45,"Apply","Low priority"))))))</x:f>
      </x:c>
      <x:c r="Q35" s="90" t="str">
        <x:f>IF(A35="","",IF(COUNTA(I35:J35)&lt;2,"Incomplete",IF(E35="Verify","Posting verified; CPT unresolved","Posting-informed")))</x:f>
      </x:c>
      <x:c r="R35" s="90" t="str"/>
    </x:row>
    <x:row r="36" ht="36" customHeight="1">
      <x:c r="A36" s="90" t="str"/>
      <x:c r="B36" s="90" t="str"/>
      <x:c r="C36" s="90" t="str"/>
      <x:c r="D36" s="90" t="str"/>
      <x:c r="E36" s="90" t="str"/>
      <x:c r="F36" s="90" t="str"/>
      <x:c r="G36" s="90" t="str"/>
      <x:c r="H36" s="90" t="str"/>
      <x:c r="I36" s="98" t="str"/>
      <x:c r="J36" s="98" t="str"/>
      <x:c r="K36" s="90" t="str"/>
      <x:c r="L36" s="98" t="str"/>
      <x:c r="M36" s="98" t="str">
        <x:f>IFERROR(VLOOKUP(B36,'Company Ranking'!$B$5:$H$200,7,FALSE),"")</x:f>
      </x:c>
      <x:c r="N36" s="90" t="str">
        <x:f>IF(A36="","",IF(OR(E36="Yes",F36="No",G36="No",H36="No"),"SKIP",IF(E36="Verify","VERIFY","ELIGIBLE")))</x:f>
      </x:c>
      <x:c r="O36" s="98" t="str">
        <x:f>IF(A36="","",IF(N36="SKIP",0,0.30*M36+0.25*I36+0.25*J36+0.08*IF(K36="Yes",1,0.75)+0.12*L36))</x:f>
      </x:c>
      <x:c r="P36" s="90" t="str">
        <x:f>IF(A36="","",IF(N36="SKIP","Skip",IF(N36="VERIFY","Verify CPT first",IF(O36&gt;=0.75,"Apply immediately",IF(O36&gt;=0.60,"High priority",IF(O36&gt;=0.45,"Apply","Low priority"))))))</x:f>
      </x:c>
      <x:c r="Q36" s="90" t="str">
        <x:f>IF(A36="","",IF(COUNTA(I36:J36)&lt;2,"Incomplete",IF(E36="Verify","Posting verified; CPT unresolved","Posting-informed")))</x:f>
      </x:c>
      <x:c r="R36" s="90" t="str"/>
    </x:row>
    <x:row r="37" ht="36" customHeight="1">
      <x:c r="A37" s="90" t="str"/>
      <x:c r="B37" s="90" t="str"/>
      <x:c r="C37" s="90" t="str"/>
      <x:c r="D37" s="90" t="str"/>
      <x:c r="E37" s="90" t="str"/>
      <x:c r="F37" s="90" t="str"/>
      <x:c r="G37" s="90" t="str"/>
      <x:c r="H37" s="90" t="str"/>
      <x:c r="I37" s="98" t="str"/>
      <x:c r="J37" s="98" t="str"/>
      <x:c r="K37" s="90" t="str"/>
      <x:c r="L37" s="98" t="str"/>
      <x:c r="M37" s="98" t="str">
        <x:f>IFERROR(VLOOKUP(B37,'Company Ranking'!$B$5:$H$200,7,FALSE),"")</x:f>
      </x:c>
      <x:c r="N37" s="90" t="str">
        <x:f>IF(A37="","",IF(OR(E37="Yes",F37="No",G37="No",H37="No"),"SKIP",IF(E37="Verify","VERIFY","ELIGIBLE")))</x:f>
      </x:c>
      <x:c r="O37" s="98" t="str">
        <x:f>IF(A37="","",IF(N37="SKIP",0,0.30*M37+0.25*I37+0.25*J37+0.08*IF(K37="Yes",1,0.75)+0.12*L37))</x:f>
      </x:c>
      <x:c r="P37" s="90" t="str">
        <x:f>IF(A37="","",IF(N37="SKIP","Skip",IF(N37="VERIFY","Verify CPT first",IF(O37&gt;=0.75,"Apply immediately",IF(O37&gt;=0.60,"High priority",IF(O37&gt;=0.45,"Apply","Low priority"))))))</x:f>
      </x:c>
      <x:c r="Q37" s="90" t="str">
        <x:f>IF(A37="","",IF(COUNTA(I37:J37)&lt;2,"Incomplete",IF(E37="Verify","Posting verified; CPT unresolved","Posting-informed")))</x:f>
      </x:c>
      <x:c r="R37" s="90" t="str"/>
    </x:row>
    <x:row r="38" ht="36" customHeight="1">
      <x:c r="A38" s="90" t="str"/>
      <x:c r="B38" s="90" t="str"/>
      <x:c r="C38" s="90" t="str"/>
      <x:c r="D38" s="90" t="str"/>
      <x:c r="E38" s="90" t="str"/>
      <x:c r="F38" s="90" t="str"/>
      <x:c r="G38" s="90" t="str"/>
      <x:c r="H38" s="90" t="str"/>
      <x:c r="I38" s="98" t="str"/>
      <x:c r="J38" s="98" t="str"/>
      <x:c r="K38" s="90" t="str"/>
      <x:c r="L38" s="98" t="str"/>
      <x:c r="M38" s="98" t="str">
        <x:f>IFERROR(VLOOKUP(B38,'Company Ranking'!$B$5:$H$200,7,FALSE),"")</x:f>
      </x:c>
      <x:c r="N38" s="90" t="str">
        <x:f>IF(A38="","",IF(OR(E38="Yes",F38="No",G38="No",H38="No"),"SKIP",IF(E38="Verify","VERIFY","ELIGIBLE")))</x:f>
      </x:c>
      <x:c r="O38" s="98" t="str">
        <x:f>IF(A38="","",IF(N38="SKIP",0,0.30*M38+0.25*I38+0.25*J38+0.08*IF(K38="Yes",1,0.75)+0.12*L38))</x:f>
      </x:c>
      <x:c r="P38" s="90" t="str">
        <x:f>IF(A38="","",IF(N38="SKIP","Skip",IF(N38="VERIFY","Verify CPT first",IF(O38&gt;=0.75,"Apply immediately",IF(O38&gt;=0.60,"High priority",IF(O38&gt;=0.45,"Apply","Low priority"))))))</x:f>
      </x:c>
      <x:c r="Q38" s="90" t="str">
        <x:f>IF(A38="","",IF(COUNTA(I38:J38)&lt;2,"Incomplete",IF(E38="Verify","Posting verified; CPT unresolved","Posting-informed")))</x:f>
      </x:c>
      <x:c r="R38" s="90" t="str"/>
    </x:row>
    <x:row r="39" ht="36" customHeight="1">
      <x:c r="A39" s="90" t="str"/>
      <x:c r="B39" s="90" t="str"/>
      <x:c r="C39" s="90" t="str"/>
      <x:c r="D39" s="90" t="str"/>
      <x:c r="E39" s="90" t="str"/>
      <x:c r="F39" s="90" t="str"/>
      <x:c r="G39" s="90" t="str"/>
      <x:c r="H39" s="90" t="str"/>
      <x:c r="I39" s="98" t="str"/>
      <x:c r="J39" s="98" t="str"/>
      <x:c r="K39" s="90" t="str"/>
      <x:c r="L39" s="98" t="str"/>
      <x:c r="M39" s="98" t="str">
        <x:f>IFERROR(VLOOKUP(B39,'Company Ranking'!$B$5:$H$200,7,FALSE),"")</x:f>
      </x:c>
      <x:c r="N39" s="90" t="str">
        <x:f>IF(A39="","",IF(OR(E39="Yes",F39="No",G39="No",H39="No"),"SKIP",IF(E39="Verify","VERIFY","ELIGIBLE")))</x:f>
      </x:c>
      <x:c r="O39" s="98" t="str">
        <x:f>IF(A39="","",IF(N39="SKIP",0,0.30*M39+0.25*I39+0.25*J39+0.08*IF(K39="Yes",1,0.75)+0.12*L39))</x:f>
      </x:c>
      <x:c r="P39" s="90" t="str">
        <x:f>IF(A39="","",IF(N39="SKIP","Skip",IF(N39="VERIFY","Verify CPT first",IF(O39&gt;=0.75,"Apply immediately",IF(O39&gt;=0.60,"High priority",IF(O39&gt;=0.45,"Apply","Low priority"))))))</x:f>
      </x:c>
      <x:c r="Q39" s="90" t="str">
        <x:f>IF(A39="","",IF(COUNTA(I39:J39)&lt;2,"Incomplete",IF(E39="Verify","Posting verified; CPT unresolved","Posting-informed")))</x:f>
      </x:c>
      <x:c r="R39" s="90" t="str"/>
    </x:row>
    <x:row r="40" ht="36" customHeight="1">
      <x:c r="A40" s="90" t="str"/>
      <x:c r="B40" s="90" t="str"/>
      <x:c r="C40" s="90" t="str"/>
      <x:c r="D40" s="90" t="str"/>
      <x:c r="E40" s="90" t="str"/>
      <x:c r="F40" s="90" t="str"/>
      <x:c r="G40" s="90" t="str"/>
      <x:c r="H40" s="90" t="str"/>
      <x:c r="I40" s="98" t="str"/>
      <x:c r="J40" s="98" t="str"/>
      <x:c r="K40" s="90" t="str"/>
      <x:c r="L40" s="98" t="str"/>
      <x:c r="M40" s="98" t="str">
        <x:f>IFERROR(VLOOKUP(B40,'Company Ranking'!$B$5:$H$200,7,FALSE),"")</x:f>
      </x:c>
      <x:c r="N40" s="90" t="str">
        <x:f>IF(A40="","",IF(OR(E40="Yes",F40="No",G40="No",H40="No"),"SKIP",IF(E40="Verify","VERIFY","ELIGIBLE")))</x:f>
      </x:c>
      <x:c r="O40" s="98" t="str">
        <x:f>IF(A40="","",IF(N40="SKIP",0,0.30*M40+0.25*I40+0.25*J40+0.08*IF(K40="Yes",1,0.75)+0.12*L40))</x:f>
      </x:c>
      <x:c r="P40" s="90" t="str">
        <x:f>IF(A40="","",IF(N40="SKIP","Skip",IF(N40="VERIFY","Verify CPT first",IF(O40&gt;=0.75,"Apply immediately",IF(O40&gt;=0.60,"High priority",IF(O40&gt;=0.45,"Apply","Low priority"))))))</x:f>
      </x:c>
      <x:c r="Q40" s="90" t="str">
        <x:f>IF(A40="","",IF(COUNTA(I40:J40)&lt;2,"Incomplete",IF(E40="Verify","Posting verified; CPT unresolved","Posting-informed")))</x:f>
      </x:c>
      <x:c r="R40" s="90" t="str"/>
    </x:row>
    <x:row r="41" ht="36" customHeight="1">
      <x:c r="A41" s="90" t="str"/>
      <x:c r="B41" s="90" t="str"/>
      <x:c r="C41" s="90" t="str"/>
      <x:c r="D41" s="90" t="str"/>
      <x:c r="E41" s="90" t="str"/>
      <x:c r="F41" s="90" t="str"/>
      <x:c r="G41" s="90" t="str"/>
      <x:c r="H41" s="90" t="str"/>
      <x:c r="I41" s="98" t="str"/>
      <x:c r="J41" s="98" t="str"/>
      <x:c r="K41" s="90" t="str"/>
      <x:c r="L41" s="98" t="str"/>
      <x:c r="M41" s="98" t="str">
        <x:f>IFERROR(VLOOKUP(B41,'Company Ranking'!$B$5:$H$200,7,FALSE),"")</x:f>
      </x:c>
      <x:c r="N41" s="90" t="str">
        <x:f>IF(A41="","",IF(OR(E41="Yes",F41="No",G41="No",H41="No"),"SKIP",IF(E41="Verify","VERIFY","ELIGIBLE")))</x:f>
      </x:c>
      <x:c r="O41" s="98" t="str">
        <x:f>IF(A41="","",IF(N41="SKIP",0,0.30*M41+0.25*I41+0.25*J41+0.08*IF(K41="Yes",1,0.75)+0.12*L41))</x:f>
      </x:c>
      <x:c r="P41" s="90" t="str">
        <x:f>IF(A41="","",IF(N41="SKIP","Skip",IF(N41="VERIFY","Verify CPT first",IF(O41&gt;=0.75,"Apply immediately",IF(O41&gt;=0.60,"High priority",IF(O41&gt;=0.45,"Apply","Low priority"))))))</x:f>
      </x:c>
      <x:c r="Q41" s="90" t="str">
        <x:f>IF(A41="","",IF(COUNTA(I41:J41)&lt;2,"Incomplete",IF(E41="Verify","Posting verified; CPT unresolved","Posting-informed")))</x:f>
      </x:c>
      <x:c r="R41" s="90" t="str"/>
    </x:row>
    <x:row r="42" ht="36" customHeight="1">
      <x:c r="A42" s="90" t="str"/>
      <x:c r="B42" s="90" t="str"/>
      <x:c r="C42" s="90" t="str"/>
      <x:c r="D42" s="90" t="str"/>
      <x:c r="E42" s="90" t="str"/>
      <x:c r="F42" s="90" t="str"/>
      <x:c r="G42" s="90" t="str"/>
      <x:c r="H42" s="90" t="str"/>
      <x:c r="I42" s="98" t="str"/>
      <x:c r="J42" s="98" t="str"/>
      <x:c r="K42" s="90" t="str"/>
      <x:c r="L42" s="98" t="str"/>
      <x:c r="M42" s="98" t="str">
        <x:f>IFERROR(VLOOKUP(B42,'Company Ranking'!$B$5:$H$200,7,FALSE),"")</x:f>
      </x:c>
      <x:c r="N42" s="90" t="str">
        <x:f>IF(A42="","",IF(OR(E42="Yes",F42="No",G42="No",H42="No"),"SKIP",IF(E42="Verify","VERIFY","ELIGIBLE")))</x:f>
      </x:c>
      <x:c r="O42" s="98" t="str">
        <x:f>IF(A42="","",IF(N42="SKIP",0,0.30*M42+0.25*I42+0.25*J42+0.08*IF(K42="Yes",1,0.75)+0.12*L42))</x:f>
      </x:c>
      <x:c r="P42" s="90" t="str">
        <x:f>IF(A42="","",IF(N42="SKIP","Skip",IF(N42="VERIFY","Verify CPT first",IF(O42&gt;=0.75,"Apply immediately",IF(O42&gt;=0.60,"High priority",IF(O42&gt;=0.45,"Apply","Low priority"))))))</x:f>
      </x:c>
      <x:c r="Q42" s="90" t="str">
        <x:f>IF(A42="","",IF(COUNTA(I42:J42)&lt;2,"Incomplete",IF(E42="Verify","Posting verified; CPT unresolved","Posting-informed")))</x:f>
      </x:c>
      <x:c r="R42" s="90" t="str"/>
    </x:row>
    <x:row r="43" ht="36" customHeight="1">
      <x:c r="A43" s="90" t="str"/>
      <x:c r="B43" s="90" t="str"/>
      <x:c r="C43" s="90" t="str"/>
      <x:c r="D43" s="90" t="str"/>
      <x:c r="E43" s="90" t="str"/>
      <x:c r="F43" s="90" t="str"/>
      <x:c r="G43" s="90" t="str"/>
      <x:c r="H43" s="90" t="str"/>
      <x:c r="I43" s="98" t="str"/>
      <x:c r="J43" s="98" t="str"/>
      <x:c r="K43" s="90" t="str"/>
      <x:c r="L43" s="98" t="str"/>
      <x:c r="M43" s="98" t="str">
        <x:f>IFERROR(VLOOKUP(B43,'Company Ranking'!$B$5:$H$200,7,FALSE),"")</x:f>
      </x:c>
      <x:c r="N43" s="90" t="str">
        <x:f>IF(A43="","",IF(OR(E43="Yes",F43="No",G43="No",H43="No"),"SKIP",IF(E43="Verify","VERIFY","ELIGIBLE")))</x:f>
      </x:c>
      <x:c r="O43" s="98" t="str">
        <x:f>IF(A43="","",IF(N43="SKIP",0,0.30*M43+0.25*I43+0.25*J43+0.08*IF(K43="Yes",1,0.75)+0.12*L43))</x:f>
      </x:c>
      <x:c r="P43" s="90" t="str">
        <x:f>IF(A43="","",IF(N43="SKIP","Skip",IF(N43="VERIFY","Verify CPT first",IF(O43&gt;=0.75,"Apply immediately",IF(O43&gt;=0.60,"High priority",IF(O43&gt;=0.45,"Apply","Low priority"))))))</x:f>
      </x:c>
      <x:c r="Q43" s="90" t="str">
        <x:f>IF(A43="","",IF(COUNTA(I43:J43)&lt;2,"Incomplete",IF(E43="Verify","Posting verified; CPT unresolved","Posting-informed")))</x:f>
      </x:c>
      <x:c r="R43" s="90" t="str"/>
    </x:row>
    <x:row r="44" ht="36" customHeight="1">
      <x:c r="A44" s="90" t="str"/>
      <x:c r="B44" s="90" t="str"/>
      <x:c r="C44" s="90" t="str"/>
      <x:c r="D44" s="90" t="str"/>
      <x:c r="E44" s="90" t="str"/>
      <x:c r="F44" s="90" t="str"/>
      <x:c r="G44" s="90" t="str"/>
      <x:c r="H44" s="90" t="str"/>
      <x:c r="I44" s="98" t="str"/>
      <x:c r="J44" s="98" t="str"/>
      <x:c r="K44" s="90" t="str"/>
      <x:c r="L44" s="98" t="str"/>
      <x:c r="M44" s="98" t="str">
        <x:f>IFERROR(VLOOKUP(B44,'Company Ranking'!$B$5:$H$200,7,FALSE),"")</x:f>
      </x:c>
      <x:c r="N44" s="90" t="str">
        <x:f>IF(A44="","",IF(OR(E44="Yes",F44="No",G44="No",H44="No"),"SKIP",IF(E44="Verify","VERIFY","ELIGIBLE")))</x:f>
      </x:c>
      <x:c r="O44" s="98" t="str">
        <x:f>IF(A44="","",IF(N44="SKIP",0,0.30*M44+0.25*I44+0.25*J44+0.08*IF(K44="Yes",1,0.75)+0.12*L44))</x:f>
      </x:c>
      <x:c r="P44" s="90" t="str">
        <x:f>IF(A44="","",IF(N44="SKIP","Skip",IF(N44="VERIFY","Verify CPT first",IF(O44&gt;=0.75,"Apply immediately",IF(O44&gt;=0.60,"High priority",IF(O44&gt;=0.45,"Apply","Low priority"))))))</x:f>
      </x:c>
      <x:c r="Q44" s="90" t="str">
        <x:f>IF(A44="","",IF(COUNTA(I44:J44)&lt;2,"Incomplete",IF(E44="Verify","Posting verified; CPT unresolved","Posting-informed")))</x:f>
      </x:c>
      <x:c r="R44" s="90" t="str"/>
    </x:row>
    <x:row r="45" ht="36" customHeight="1">
      <x:c r="A45" s="90" t="str"/>
      <x:c r="B45" s="90" t="str"/>
      <x:c r="C45" s="90" t="str"/>
      <x:c r="D45" s="90" t="str"/>
      <x:c r="E45" s="90" t="str"/>
      <x:c r="F45" s="90" t="str"/>
      <x:c r="G45" s="90" t="str"/>
      <x:c r="H45" s="90" t="str"/>
      <x:c r="I45" s="98" t="str"/>
      <x:c r="J45" s="98" t="str"/>
      <x:c r="K45" s="90" t="str"/>
      <x:c r="L45" s="98" t="str"/>
      <x:c r="M45" s="98" t="str">
        <x:f>IFERROR(VLOOKUP(B45,'Company Ranking'!$B$5:$H$200,7,FALSE),"")</x:f>
      </x:c>
      <x:c r="N45" s="90" t="str">
        <x:f>IF(A45="","",IF(OR(E45="Yes",F45="No",G45="No",H45="No"),"SKIP",IF(E45="Verify","VERIFY","ELIGIBLE")))</x:f>
      </x:c>
      <x:c r="O45" s="98" t="str">
        <x:f>IF(A45="","",IF(N45="SKIP",0,0.30*M45+0.25*I45+0.25*J45+0.08*IF(K45="Yes",1,0.75)+0.12*L45))</x:f>
      </x:c>
      <x:c r="P45" s="90" t="str">
        <x:f>IF(A45="","",IF(N45="SKIP","Skip",IF(N45="VERIFY","Verify CPT first",IF(O45&gt;=0.75,"Apply immediately",IF(O45&gt;=0.60,"High priority",IF(O45&gt;=0.45,"Apply","Low priority"))))))</x:f>
      </x:c>
      <x:c r="Q45" s="90" t="str">
        <x:f>IF(A45="","",IF(COUNTA(I45:J45)&lt;2,"Incomplete",IF(E45="Verify","Posting verified; CPT unresolved","Posting-informed")))</x:f>
      </x:c>
      <x:c r="R45" s="90" t="str"/>
    </x:row>
    <x:row r="46" ht="36" customHeight="1">
      <x:c r="A46" s="90" t="str"/>
      <x:c r="B46" s="90" t="str"/>
      <x:c r="C46" s="90" t="str"/>
      <x:c r="D46" s="90" t="str"/>
      <x:c r="E46" s="90" t="str"/>
      <x:c r="F46" s="90" t="str"/>
      <x:c r="G46" s="90" t="str"/>
      <x:c r="H46" s="90" t="str"/>
      <x:c r="I46" s="98" t="str"/>
      <x:c r="J46" s="98" t="str"/>
      <x:c r="K46" s="90" t="str"/>
      <x:c r="L46" s="98" t="str"/>
      <x:c r="M46" s="98" t="str">
        <x:f>IFERROR(VLOOKUP(B46,'Company Ranking'!$B$5:$H$200,7,FALSE),"")</x:f>
      </x:c>
      <x:c r="N46" s="90" t="str">
        <x:f>IF(A46="","",IF(OR(E46="Yes",F46="No",G46="No",H46="No"),"SKIP",IF(E46="Verify","VERIFY","ELIGIBLE")))</x:f>
      </x:c>
      <x:c r="O46" s="98" t="str">
        <x:f>IF(A46="","",IF(N46="SKIP",0,0.30*M46+0.25*I46+0.25*J46+0.08*IF(K46="Yes",1,0.75)+0.12*L46))</x:f>
      </x:c>
      <x:c r="P46" s="90" t="str">
        <x:f>IF(A46="","",IF(N46="SKIP","Skip",IF(N46="VERIFY","Verify CPT first",IF(O46&gt;=0.75,"Apply immediately",IF(O46&gt;=0.60,"High priority",IF(O46&gt;=0.45,"Apply","Low priority"))))))</x:f>
      </x:c>
      <x:c r="Q46" s="90" t="str">
        <x:f>IF(A46="","",IF(COUNTA(I46:J46)&lt;2,"Incomplete",IF(E46="Verify","Posting verified; CPT unresolved","Posting-informed")))</x:f>
      </x:c>
      <x:c r="R46" s="90" t="str"/>
    </x:row>
    <x:row r="47" ht="36" customHeight="1">
      <x:c r="A47" s="90" t="str"/>
      <x:c r="B47" s="90" t="str"/>
      <x:c r="C47" s="90" t="str"/>
      <x:c r="D47" s="90" t="str"/>
      <x:c r="E47" s="90" t="str"/>
      <x:c r="F47" s="90" t="str"/>
      <x:c r="G47" s="90" t="str"/>
      <x:c r="H47" s="90" t="str"/>
      <x:c r="I47" s="98" t="str"/>
      <x:c r="J47" s="98" t="str"/>
      <x:c r="K47" s="90" t="str"/>
      <x:c r="L47" s="98" t="str"/>
      <x:c r="M47" s="98" t="str">
        <x:f>IFERROR(VLOOKUP(B47,'Company Ranking'!$B$5:$H$200,7,FALSE),"")</x:f>
      </x:c>
      <x:c r="N47" s="90" t="str">
        <x:f>IF(A47="","",IF(OR(E47="Yes",F47="No",G47="No",H47="No"),"SKIP",IF(E47="Verify","VERIFY","ELIGIBLE")))</x:f>
      </x:c>
      <x:c r="O47" s="98" t="str">
        <x:f>IF(A47="","",IF(N47="SKIP",0,0.30*M47+0.25*I47+0.25*J47+0.08*IF(K47="Yes",1,0.75)+0.12*L47))</x:f>
      </x:c>
      <x:c r="P47" s="90" t="str">
        <x:f>IF(A47="","",IF(N47="SKIP","Skip",IF(N47="VERIFY","Verify CPT first",IF(O47&gt;=0.75,"Apply immediately",IF(O47&gt;=0.60,"High priority",IF(O47&gt;=0.45,"Apply","Low priority"))))))</x:f>
      </x:c>
      <x:c r="Q47" s="90" t="str">
        <x:f>IF(A47="","",IF(COUNTA(I47:J47)&lt;2,"Incomplete",IF(E47="Verify","Posting verified; CPT unresolved","Posting-informed")))</x:f>
      </x:c>
      <x:c r="R47" s="90" t="str"/>
    </x:row>
    <x:row r="48" ht="36" customHeight="1">
      <x:c r="A48" s="90" t="str"/>
      <x:c r="B48" s="90" t="str"/>
      <x:c r="C48" s="90" t="str"/>
      <x:c r="D48" s="90" t="str"/>
      <x:c r="E48" s="90" t="str"/>
      <x:c r="F48" s="90" t="str"/>
      <x:c r="G48" s="90" t="str"/>
      <x:c r="H48" s="90" t="str"/>
      <x:c r="I48" s="98" t="str"/>
      <x:c r="J48" s="98" t="str"/>
      <x:c r="K48" s="90" t="str"/>
      <x:c r="L48" s="98" t="str"/>
      <x:c r="M48" s="98" t="str">
        <x:f>IFERROR(VLOOKUP(B48,'Company Ranking'!$B$5:$H$200,7,FALSE),"")</x:f>
      </x:c>
      <x:c r="N48" s="90" t="str">
        <x:f>IF(A48="","",IF(OR(E48="Yes",F48="No",G48="No",H48="No"),"SKIP",IF(E48="Verify","VERIFY","ELIGIBLE")))</x:f>
      </x:c>
      <x:c r="O48" s="98" t="str">
        <x:f>IF(A48="","",IF(N48="SKIP",0,0.30*M48+0.25*I48+0.25*J48+0.08*IF(K48="Yes",1,0.75)+0.12*L48))</x:f>
      </x:c>
      <x:c r="P48" s="90" t="str">
        <x:f>IF(A48="","",IF(N48="SKIP","Skip",IF(N48="VERIFY","Verify CPT first",IF(O48&gt;=0.75,"Apply immediately",IF(O48&gt;=0.60,"High priority",IF(O48&gt;=0.45,"Apply","Low priority"))))))</x:f>
      </x:c>
      <x:c r="Q48" s="90" t="str">
        <x:f>IF(A48="","",IF(COUNTA(I48:J48)&lt;2,"Incomplete",IF(E48="Verify","Posting verified; CPT unresolved","Posting-informed")))</x:f>
      </x:c>
      <x:c r="R48" s="90" t="str"/>
    </x:row>
    <x:row r="49" ht="36" customHeight="1">
      <x:c r="A49" s="90" t="str"/>
      <x:c r="B49" s="90" t="str"/>
      <x:c r="C49" s="90" t="str"/>
      <x:c r="D49" s="90" t="str"/>
      <x:c r="E49" s="90" t="str"/>
      <x:c r="F49" s="90" t="str"/>
      <x:c r="G49" s="90" t="str"/>
      <x:c r="H49" s="90" t="str"/>
      <x:c r="I49" s="98" t="str"/>
      <x:c r="J49" s="98" t="str"/>
      <x:c r="K49" s="90" t="str"/>
      <x:c r="L49" s="98" t="str"/>
      <x:c r="M49" s="98" t="str">
        <x:f>IFERROR(VLOOKUP(B49,'Company Ranking'!$B$5:$H$200,7,FALSE),"")</x:f>
      </x:c>
      <x:c r="N49" s="90" t="str">
        <x:f>IF(A49="","",IF(OR(E49="Yes",F49="No",G49="No",H49="No"),"SKIP",IF(E49="Verify","VERIFY","ELIGIBLE")))</x:f>
      </x:c>
      <x:c r="O49" s="98" t="str">
        <x:f>IF(A49="","",IF(N49="SKIP",0,0.30*M49+0.25*I49+0.25*J49+0.08*IF(K49="Yes",1,0.75)+0.12*L49))</x:f>
      </x:c>
      <x:c r="P49" s="90" t="str">
        <x:f>IF(A49="","",IF(N49="SKIP","Skip",IF(N49="VERIFY","Verify CPT first",IF(O49&gt;=0.75,"Apply immediately",IF(O49&gt;=0.60,"High priority",IF(O49&gt;=0.45,"Apply","Low priority"))))))</x:f>
      </x:c>
      <x:c r="Q49" s="90" t="str">
        <x:f>IF(A49="","",IF(COUNTA(I49:J49)&lt;2,"Incomplete",IF(E49="Verify","Posting verified; CPT unresolved","Posting-informed")))</x:f>
      </x:c>
      <x:c r="R49" s="90" t="str"/>
    </x:row>
    <x:row r="50" ht="36" customHeight="1">
      <x:c r="A50" s="90" t="str"/>
      <x:c r="B50" s="90" t="str"/>
      <x:c r="C50" s="90" t="str"/>
      <x:c r="D50" s="90" t="str"/>
      <x:c r="E50" s="90" t="str"/>
      <x:c r="F50" s="90" t="str"/>
      <x:c r="G50" s="90" t="str"/>
      <x:c r="H50" s="90" t="str"/>
      <x:c r="I50" s="98" t="str"/>
      <x:c r="J50" s="98" t="str"/>
      <x:c r="K50" s="90" t="str"/>
      <x:c r="L50" s="98" t="str"/>
      <x:c r="M50" s="98" t="str">
        <x:f>IFERROR(VLOOKUP(B50,'Company Ranking'!$B$5:$H$200,7,FALSE),"")</x:f>
      </x:c>
      <x:c r="N50" s="90" t="str">
        <x:f>IF(A50="","",IF(OR(E50="Yes",F50="No",G50="No",H50="No"),"SKIP",IF(E50="Verify","VERIFY","ELIGIBLE")))</x:f>
      </x:c>
      <x:c r="O50" s="98" t="str">
        <x:f>IF(A50="","",IF(N50="SKIP",0,0.30*M50+0.25*I50+0.25*J50+0.08*IF(K50="Yes",1,0.75)+0.12*L50))</x:f>
      </x:c>
      <x:c r="P50" s="90" t="str">
        <x:f>IF(A50="","",IF(N50="SKIP","Skip",IF(N50="VERIFY","Verify CPT first",IF(O50&gt;=0.75,"Apply immediately",IF(O50&gt;=0.60,"High priority",IF(O50&gt;=0.45,"Apply","Low priority"))))))</x:f>
      </x:c>
      <x:c r="Q50" s="90" t="str">
        <x:f>IF(A50="","",IF(COUNTA(I50:J50)&lt;2,"Incomplete",IF(E50="Verify","Posting verified; CPT unresolved","Posting-informed")))</x:f>
      </x:c>
      <x:c r="R50" s="90" t="str"/>
    </x:row>
    <x:row r="51" ht="36" customHeight="1">
      <x:c r="A51" s="90" t="str"/>
      <x:c r="B51" s="90" t="str"/>
      <x:c r="C51" s="90" t="str"/>
      <x:c r="D51" s="90" t="str"/>
      <x:c r="E51" s="90" t="str"/>
      <x:c r="F51" s="90" t="str"/>
      <x:c r="G51" s="90" t="str"/>
      <x:c r="H51" s="90" t="str"/>
      <x:c r="I51" s="98" t="str"/>
      <x:c r="J51" s="98" t="str"/>
      <x:c r="K51" s="90" t="str"/>
      <x:c r="L51" s="98" t="str"/>
      <x:c r="M51" s="98" t="str">
        <x:f>IFERROR(VLOOKUP(B51,'Company Ranking'!$B$5:$H$200,7,FALSE),"")</x:f>
      </x:c>
      <x:c r="N51" s="90" t="str">
        <x:f>IF(A51="","",IF(OR(E51="Yes",F51="No",G51="No",H51="No"),"SKIP",IF(E51="Verify","VERIFY","ELIGIBLE")))</x:f>
      </x:c>
      <x:c r="O51" s="98" t="str">
        <x:f>IF(A51="","",IF(N51="SKIP",0,0.30*M51+0.25*I51+0.25*J51+0.08*IF(K51="Yes",1,0.75)+0.12*L51))</x:f>
      </x:c>
      <x:c r="P51" s="90" t="str">
        <x:f>IF(A51="","",IF(N51="SKIP","Skip",IF(N51="VERIFY","Verify CPT first",IF(O51&gt;=0.75,"Apply immediately",IF(O51&gt;=0.60,"High priority",IF(O51&gt;=0.45,"Apply","Low priority"))))))</x:f>
      </x:c>
      <x:c r="Q51" s="90" t="str">
        <x:f>IF(A51="","",IF(COUNTA(I51:J51)&lt;2,"Incomplete",IF(E51="Verify","Posting verified; CPT unresolved","Posting-informed")))</x:f>
      </x:c>
      <x:c r="R51" s="90" t="str"/>
    </x:row>
    <x:row r="52" ht="36" customHeight="1">
      <x:c r="A52" s="90" t="str"/>
      <x:c r="B52" s="90" t="str"/>
      <x:c r="C52" s="90" t="str"/>
      <x:c r="D52" s="90" t="str"/>
      <x:c r="E52" s="90" t="str"/>
      <x:c r="F52" s="90" t="str"/>
      <x:c r="G52" s="90" t="str"/>
      <x:c r="H52" s="90" t="str"/>
      <x:c r="I52" s="98" t="str"/>
      <x:c r="J52" s="98" t="str"/>
      <x:c r="K52" s="90" t="str"/>
      <x:c r="L52" s="98" t="str"/>
      <x:c r="M52" s="98" t="str">
        <x:f>IFERROR(VLOOKUP(B52,'Company Ranking'!$B$5:$H$200,7,FALSE),"")</x:f>
      </x:c>
      <x:c r="N52" s="90" t="str">
        <x:f>IF(A52="","",IF(OR(E52="Yes",F52="No",G52="No",H52="No"),"SKIP",IF(E52="Verify","VERIFY","ELIGIBLE")))</x:f>
      </x:c>
      <x:c r="O52" s="98" t="str">
        <x:f>IF(A52="","",IF(N52="SKIP",0,0.30*M52+0.25*I52+0.25*J52+0.08*IF(K52="Yes",1,0.75)+0.12*L52))</x:f>
      </x:c>
      <x:c r="P52" s="90" t="str">
        <x:f>IF(A52="","",IF(N52="SKIP","Skip",IF(N52="VERIFY","Verify CPT first",IF(O52&gt;=0.75,"Apply immediately",IF(O52&gt;=0.60,"High priority",IF(O52&gt;=0.45,"Apply","Low priority"))))))</x:f>
      </x:c>
      <x:c r="Q52" s="90" t="str">
        <x:f>IF(A52="","",IF(COUNTA(I52:J52)&lt;2,"Incomplete",IF(E52="Verify","Posting verified; CPT unresolved","Posting-informed")))</x:f>
      </x:c>
      <x:c r="R52" s="90" t="str"/>
    </x:row>
    <x:row r="53" ht="36" customHeight="1">
      <x:c r="A53" s="90" t="str"/>
      <x:c r="B53" s="90" t="str"/>
      <x:c r="C53" s="90" t="str"/>
      <x:c r="D53" s="90" t="str"/>
      <x:c r="E53" s="90" t="str"/>
      <x:c r="F53" s="90" t="str"/>
      <x:c r="G53" s="90" t="str"/>
      <x:c r="H53" s="90" t="str"/>
      <x:c r="I53" s="98" t="str"/>
      <x:c r="J53" s="98" t="str"/>
      <x:c r="K53" s="90" t="str"/>
      <x:c r="L53" s="98" t="str"/>
      <x:c r="M53" s="98" t="str">
        <x:f>IFERROR(VLOOKUP(B53,'Company Ranking'!$B$5:$H$200,7,FALSE),"")</x:f>
      </x:c>
      <x:c r="N53" s="90" t="str">
        <x:f>IF(A53="","",IF(OR(E53="Yes",F53="No",G53="No",H53="No"),"SKIP",IF(E53="Verify","VERIFY","ELIGIBLE")))</x:f>
      </x:c>
      <x:c r="O53" s="98" t="str">
        <x:f>IF(A53="","",IF(N53="SKIP",0,0.30*M53+0.25*I53+0.25*J53+0.08*IF(K53="Yes",1,0.75)+0.12*L53))</x:f>
      </x:c>
      <x:c r="P53" s="90" t="str">
        <x:f>IF(A53="","",IF(N53="SKIP","Skip",IF(N53="VERIFY","Verify CPT first",IF(O53&gt;=0.75,"Apply immediately",IF(O53&gt;=0.60,"High priority",IF(O53&gt;=0.45,"Apply","Low priority"))))))</x:f>
      </x:c>
      <x:c r="Q53" s="90" t="str">
        <x:f>IF(A53="","",IF(COUNTA(I53:J53)&lt;2,"Incomplete",IF(E53="Verify","Posting verified; CPT unresolved","Posting-informed")))</x:f>
      </x:c>
      <x:c r="R53" s="90" t="str"/>
    </x:row>
    <x:row r="54" ht="36" customHeight="1">
      <x:c r="A54" s="90" t="str"/>
      <x:c r="B54" s="90" t="str"/>
      <x:c r="C54" s="90" t="str"/>
      <x:c r="D54" s="90" t="str"/>
      <x:c r="E54" s="90" t="str"/>
      <x:c r="F54" s="90" t="str"/>
      <x:c r="G54" s="90" t="str"/>
      <x:c r="H54" s="90" t="str"/>
      <x:c r="I54" s="98" t="str"/>
      <x:c r="J54" s="98" t="str"/>
      <x:c r="K54" s="90" t="str"/>
      <x:c r="L54" s="98" t="str"/>
      <x:c r="M54" s="98" t="str">
        <x:f>IFERROR(VLOOKUP(B54,'Company Ranking'!$B$5:$H$200,7,FALSE),"")</x:f>
      </x:c>
      <x:c r="N54" s="90" t="str">
        <x:f>IF(A54="","",IF(OR(E54="Yes",F54="No",G54="No",H54="No"),"SKIP",IF(E54="Verify","VERIFY","ELIGIBLE")))</x:f>
      </x:c>
      <x:c r="O54" s="98" t="str">
        <x:f>IF(A54="","",IF(N54="SKIP",0,0.30*M54+0.25*I54+0.25*J54+0.08*IF(K54="Yes",1,0.75)+0.12*L54))</x:f>
      </x:c>
      <x:c r="P54" s="90" t="str">
        <x:f>IF(A54="","",IF(N54="SKIP","Skip",IF(N54="VERIFY","Verify CPT first",IF(O54&gt;=0.75,"Apply immediately",IF(O54&gt;=0.60,"High priority",IF(O54&gt;=0.45,"Apply","Low priority"))))))</x:f>
      </x:c>
      <x:c r="Q54" s="90" t="str">
        <x:f>IF(A54="","",IF(COUNTA(I54:J54)&lt;2,"Incomplete",IF(E54="Verify","Posting verified; CPT unresolved","Posting-informed")))</x:f>
      </x:c>
      <x:c r="R54" s="90" t="str"/>
    </x:row>
    <x:row r="55" ht="36" customHeight="1">
      <x:c r="A55" s="90" t="str"/>
      <x:c r="B55" s="90" t="str"/>
      <x:c r="C55" s="90" t="str"/>
      <x:c r="D55" s="90" t="str"/>
      <x:c r="E55" s="90" t="str"/>
      <x:c r="F55" s="90" t="str"/>
      <x:c r="G55" s="90" t="str"/>
      <x:c r="H55" s="90" t="str"/>
      <x:c r="I55" s="98" t="str"/>
      <x:c r="J55" s="98" t="str"/>
      <x:c r="K55" s="90" t="str"/>
      <x:c r="L55" s="98" t="str"/>
      <x:c r="M55" s="98" t="str">
        <x:f>IFERROR(VLOOKUP(B55,'Company Ranking'!$B$5:$H$200,7,FALSE),"")</x:f>
      </x:c>
      <x:c r="N55" s="90" t="str">
        <x:f>IF(A55="","",IF(OR(E55="Yes",F55="No",G55="No",H55="No"),"SKIP",IF(E55="Verify","VERIFY","ELIGIBLE")))</x:f>
      </x:c>
      <x:c r="O55" s="98" t="str">
        <x:f>IF(A55="","",IF(N55="SKIP",0,0.30*M55+0.25*I55+0.25*J55+0.08*IF(K55="Yes",1,0.75)+0.12*L55))</x:f>
      </x:c>
      <x:c r="P55" s="90" t="str">
        <x:f>IF(A55="","",IF(N55="SKIP","Skip",IF(N55="VERIFY","Verify CPT first",IF(O55&gt;=0.75,"Apply immediately",IF(O55&gt;=0.60,"High priority",IF(O55&gt;=0.45,"Apply","Low priority"))))))</x:f>
      </x:c>
      <x:c r="Q55" s="90" t="str">
        <x:f>IF(A55="","",IF(COUNTA(I55:J55)&lt;2,"Incomplete",IF(E55="Verify","Posting verified; CPT unresolved","Posting-informed")))</x:f>
      </x:c>
      <x:c r="R55" s="90" t="str"/>
    </x:row>
    <x:row r="56" ht="36" customHeight="1">
      <x:c r="A56" s="90" t="str"/>
      <x:c r="B56" s="90" t="str"/>
      <x:c r="C56" s="90" t="str"/>
      <x:c r="D56" s="90" t="str"/>
      <x:c r="E56" s="90" t="str"/>
      <x:c r="F56" s="90" t="str"/>
      <x:c r="G56" s="90" t="str"/>
      <x:c r="H56" s="90" t="str"/>
      <x:c r="I56" s="98" t="str"/>
      <x:c r="J56" s="98" t="str"/>
      <x:c r="K56" s="90" t="str"/>
      <x:c r="L56" s="98" t="str"/>
      <x:c r="M56" s="98" t="str">
        <x:f>IFERROR(VLOOKUP(B56,'Company Ranking'!$B$5:$H$200,7,FALSE),"")</x:f>
      </x:c>
      <x:c r="N56" s="90" t="str">
        <x:f>IF(A56="","",IF(OR(E56="Yes",F56="No",G56="No",H56="No"),"SKIP",IF(E56="Verify","VERIFY","ELIGIBLE")))</x:f>
      </x:c>
      <x:c r="O56" s="98" t="str">
        <x:f>IF(A56="","",IF(N56="SKIP",0,0.30*M56+0.25*I56+0.25*J56+0.08*IF(K56="Yes",1,0.75)+0.12*L56))</x:f>
      </x:c>
      <x:c r="P56" s="90" t="str">
        <x:f>IF(A56="","",IF(N56="SKIP","Skip",IF(N56="VERIFY","Verify CPT first",IF(O56&gt;=0.75,"Apply immediately",IF(O56&gt;=0.60,"High priority",IF(O56&gt;=0.45,"Apply","Low priority"))))))</x:f>
      </x:c>
      <x:c r="Q56" s="90" t="str">
        <x:f>IF(A56="","",IF(COUNTA(I56:J56)&lt;2,"Incomplete",IF(E56="Verify","Posting verified; CPT unresolved","Posting-informed")))</x:f>
      </x:c>
      <x:c r="R56" s="90" t="str"/>
    </x:row>
    <x:row r="57" ht="36" customHeight="1">
      <x:c r="A57" s="90" t="str"/>
      <x:c r="B57" s="90" t="str"/>
      <x:c r="C57" s="90" t="str"/>
      <x:c r="D57" s="90" t="str"/>
      <x:c r="E57" s="90" t="str"/>
      <x:c r="F57" s="90" t="str"/>
      <x:c r="G57" s="90" t="str"/>
      <x:c r="H57" s="90" t="str"/>
      <x:c r="I57" s="98" t="str"/>
      <x:c r="J57" s="98" t="str"/>
      <x:c r="K57" s="90" t="str"/>
      <x:c r="L57" s="98" t="str"/>
      <x:c r="M57" s="98" t="str">
        <x:f>IFERROR(VLOOKUP(B57,'Company Ranking'!$B$5:$H$200,7,FALSE),"")</x:f>
      </x:c>
      <x:c r="N57" s="90" t="str">
        <x:f>IF(A57="","",IF(OR(E57="Yes",F57="No",G57="No",H57="No"),"SKIP",IF(E57="Verify","VERIFY","ELIGIBLE")))</x:f>
      </x:c>
      <x:c r="O57" s="98" t="str">
        <x:f>IF(A57="","",IF(N57="SKIP",0,0.30*M57+0.25*I57+0.25*J57+0.08*IF(K57="Yes",1,0.75)+0.12*L57))</x:f>
      </x:c>
      <x:c r="P57" s="90" t="str">
        <x:f>IF(A57="","",IF(N57="SKIP","Skip",IF(N57="VERIFY","Verify CPT first",IF(O57&gt;=0.75,"Apply immediately",IF(O57&gt;=0.60,"High priority",IF(O57&gt;=0.45,"Apply","Low priority"))))))</x:f>
      </x:c>
      <x:c r="Q57" s="90" t="str">
        <x:f>IF(A57="","",IF(COUNTA(I57:J57)&lt;2,"Incomplete",IF(E57="Verify","Posting verified; CPT unresolved","Posting-informed")))</x:f>
      </x:c>
      <x:c r="R57" s="90" t="str"/>
    </x:row>
    <x:row r="58" ht="36" customHeight="1">
      <x:c r="A58" s="90" t="str"/>
      <x:c r="B58" s="90" t="str"/>
      <x:c r="C58" s="90" t="str"/>
      <x:c r="D58" s="90" t="str"/>
      <x:c r="E58" s="90" t="str"/>
      <x:c r="F58" s="90" t="str"/>
      <x:c r="G58" s="90" t="str"/>
      <x:c r="H58" s="90" t="str"/>
      <x:c r="I58" s="98" t="str"/>
      <x:c r="J58" s="98" t="str"/>
      <x:c r="K58" s="90" t="str"/>
      <x:c r="L58" s="98" t="str"/>
      <x:c r="M58" s="98" t="str">
        <x:f>IFERROR(VLOOKUP(B58,'Company Ranking'!$B$5:$H$200,7,FALSE),"")</x:f>
      </x:c>
      <x:c r="N58" s="90" t="str">
        <x:f>IF(A58="","",IF(OR(E58="Yes",F58="No",G58="No",H58="No"),"SKIP",IF(E58="Verify","VERIFY","ELIGIBLE")))</x:f>
      </x:c>
      <x:c r="O58" s="98" t="str">
        <x:f>IF(A58="","",IF(N58="SKIP",0,0.30*M58+0.25*I58+0.25*J58+0.08*IF(K58="Yes",1,0.75)+0.12*L58))</x:f>
      </x:c>
      <x:c r="P58" s="90" t="str">
        <x:f>IF(A58="","",IF(N58="SKIP","Skip",IF(N58="VERIFY","Verify CPT first",IF(O58&gt;=0.75,"Apply immediately",IF(O58&gt;=0.60,"High priority",IF(O58&gt;=0.45,"Apply","Low priority"))))))</x:f>
      </x:c>
      <x:c r="Q58" s="90" t="str">
        <x:f>IF(A58="","",IF(COUNTA(I58:J58)&lt;2,"Incomplete",IF(E58="Verify","Posting verified; CPT unresolved","Posting-informed")))</x:f>
      </x:c>
      <x:c r="R58" s="90" t="str"/>
    </x:row>
    <x:row r="59" ht="36" customHeight="1">
      <x:c r="A59" s="90" t="str"/>
      <x:c r="B59" s="90" t="str"/>
      <x:c r="C59" s="90" t="str"/>
      <x:c r="D59" s="90" t="str"/>
      <x:c r="E59" s="90" t="str"/>
      <x:c r="F59" s="90" t="str"/>
      <x:c r="G59" s="90" t="str"/>
      <x:c r="H59" s="90" t="str"/>
      <x:c r="I59" s="98" t="str"/>
      <x:c r="J59" s="98" t="str"/>
      <x:c r="K59" s="90" t="str"/>
      <x:c r="L59" s="98" t="str"/>
      <x:c r="M59" s="98" t="str">
        <x:f>IFERROR(VLOOKUP(B59,'Company Ranking'!$B$5:$H$200,7,FALSE),"")</x:f>
      </x:c>
      <x:c r="N59" s="90" t="str">
        <x:f>IF(A59="","",IF(OR(E59="Yes",F59="No",G59="No",H59="No"),"SKIP",IF(E59="Verify","VERIFY","ELIGIBLE")))</x:f>
      </x:c>
      <x:c r="O59" s="98" t="str">
        <x:f>IF(A59="","",IF(N59="SKIP",0,0.30*M59+0.25*I59+0.25*J59+0.08*IF(K59="Yes",1,0.75)+0.12*L59))</x:f>
      </x:c>
      <x:c r="P59" s="90" t="str">
        <x:f>IF(A59="","",IF(N59="SKIP","Skip",IF(N59="VERIFY","Verify CPT first",IF(O59&gt;=0.75,"Apply immediately",IF(O59&gt;=0.60,"High priority",IF(O59&gt;=0.45,"Apply","Low priority"))))))</x:f>
      </x:c>
      <x:c r="Q59" s="90" t="str">
        <x:f>IF(A59="","",IF(COUNTA(I59:J59)&lt;2,"Incomplete",IF(E59="Verify","Posting verified; CPT unresolved","Posting-informed")))</x:f>
      </x:c>
      <x:c r="R59" s="90" t="str"/>
    </x:row>
    <x:row r="60" ht="36" customHeight="1">
      <x:c r="A60" s="90" t="str"/>
      <x:c r="B60" s="90" t="str"/>
      <x:c r="C60" s="90" t="str"/>
      <x:c r="D60" s="90" t="str"/>
      <x:c r="E60" s="90" t="str"/>
      <x:c r="F60" s="90" t="str"/>
      <x:c r="G60" s="90" t="str"/>
      <x:c r="H60" s="90" t="str"/>
      <x:c r="I60" s="98" t="str"/>
      <x:c r="J60" s="98" t="str"/>
      <x:c r="K60" s="90" t="str"/>
      <x:c r="L60" s="98" t="str"/>
      <x:c r="M60" s="98" t="str">
        <x:f>IFERROR(VLOOKUP(B60,'Company Ranking'!$B$5:$H$200,7,FALSE),"")</x:f>
      </x:c>
      <x:c r="N60" s="90" t="str">
        <x:f>IF(A60="","",IF(OR(E60="Yes",F60="No",G60="No",H60="No"),"SKIP",IF(E60="Verify","VERIFY","ELIGIBLE")))</x:f>
      </x:c>
      <x:c r="O60" s="98" t="str">
        <x:f>IF(A60="","",IF(N60="SKIP",0,0.30*M60+0.25*I60+0.25*J60+0.08*IF(K60="Yes",1,0.75)+0.12*L60))</x:f>
      </x:c>
      <x:c r="P60" s="90" t="str">
        <x:f>IF(A60="","",IF(N60="SKIP","Skip",IF(N60="VERIFY","Verify CPT first",IF(O60&gt;=0.75,"Apply immediately",IF(O60&gt;=0.60,"High priority",IF(O60&gt;=0.45,"Apply","Low priority"))))))</x:f>
      </x:c>
      <x:c r="Q60" s="90" t="str">
        <x:f>IF(A60="","",IF(COUNTA(I60:J60)&lt;2,"Incomplete",IF(E60="Verify","Posting verified; CPT unresolved","Posting-informed")))</x:f>
      </x:c>
      <x:c r="R60" s="90" t="str"/>
    </x:row>
    <x:row r="61" ht="36" customHeight="1">
      <x:c r="A61" s="90" t="str"/>
      <x:c r="B61" s="90" t="str"/>
      <x:c r="C61" s="90" t="str"/>
      <x:c r="D61" s="90" t="str"/>
      <x:c r="E61" s="90" t="str"/>
      <x:c r="F61" s="90" t="str"/>
      <x:c r="G61" s="90" t="str"/>
      <x:c r="H61" s="90" t="str"/>
      <x:c r="I61" s="98" t="str"/>
      <x:c r="J61" s="98" t="str"/>
      <x:c r="K61" s="90" t="str"/>
      <x:c r="L61" s="98" t="str"/>
      <x:c r="M61" s="98" t="str">
        <x:f>IFERROR(VLOOKUP(B61,'Company Ranking'!$B$5:$H$200,7,FALSE),"")</x:f>
      </x:c>
      <x:c r="N61" s="90" t="str">
        <x:f>IF(A61="","",IF(OR(E61="Yes",F61="No",G61="No",H61="No"),"SKIP",IF(E61="Verify","VERIFY","ELIGIBLE")))</x:f>
      </x:c>
      <x:c r="O61" s="98" t="str">
        <x:f>IF(A61="","",IF(N61="SKIP",0,0.30*M61+0.25*I61+0.25*J61+0.08*IF(K61="Yes",1,0.75)+0.12*L61))</x:f>
      </x:c>
      <x:c r="P61" s="90" t="str">
        <x:f>IF(A61="","",IF(N61="SKIP","Skip",IF(N61="VERIFY","Verify CPT first",IF(O61&gt;=0.75,"Apply immediately",IF(O61&gt;=0.60,"High priority",IF(O61&gt;=0.45,"Apply","Low priority"))))))</x:f>
      </x:c>
      <x:c r="Q61" s="90" t="str">
        <x:f>IF(A61="","",IF(COUNTA(I61:J61)&lt;2,"Incomplete",IF(E61="Verify","Posting verified; CPT unresolved","Posting-informed")))</x:f>
      </x:c>
      <x:c r="R61" s="90" t="str"/>
    </x:row>
    <x:row r="62" ht="36" customHeight="1">
      <x:c r="A62" s="90" t="str"/>
      <x:c r="B62" s="90" t="str"/>
      <x:c r="C62" s="90" t="str"/>
      <x:c r="D62" s="90" t="str"/>
      <x:c r="E62" s="90" t="str"/>
      <x:c r="F62" s="90" t="str"/>
      <x:c r="G62" s="90" t="str"/>
      <x:c r="H62" s="90" t="str"/>
      <x:c r="I62" s="98" t="str"/>
      <x:c r="J62" s="98" t="str"/>
      <x:c r="K62" s="90" t="str"/>
      <x:c r="L62" s="98" t="str"/>
      <x:c r="M62" s="98" t="str">
        <x:f>IFERROR(VLOOKUP(B62,'Company Ranking'!$B$5:$H$200,7,FALSE),"")</x:f>
      </x:c>
      <x:c r="N62" s="90" t="str">
        <x:f>IF(A62="","",IF(OR(E62="Yes",F62="No",G62="No",H62="No"),"SKIP",IF(E62="Verify","VERIFY","ELIGIBLE")))</x:f>
      </x:c>
      <x:c r="O62" s="98" t="str">
        <x:f>IF(A62="","",IF(N62="SKIP",0,0.30*M62+0.25*I62+0.25*J62+0.08*IF(K62="Yes",1,0.75)+0.12*L62))</x:f>
      </x:c>
      <x:c r="P62" s="90" t="str">
        <x:f>IF(A62="","",IF(N62="SKIP","Skip",IF(N62="VERIFY","Verify CPT first",IF(O62&gt;=0.75,"Apply immediately",IF(O62&gt;=0.60,"High priority",IF(O62&gt;=0.45,"Apply","Low priority"))))))</x:f>
      </x:c>
      <x:c r="Q62" s="90" t="str">
        <x:f>IF(A62="","",IF(COUNTA(I62:J62)&lt;2,"Incomplete",IF(E62="Verify","Posting verified; CPT unresolved","Posting-informed")))</x:f>
      </x:c>
      <x:c r="R62" s="90" t="str"/>
    </x:row>
    <x:row r="63" ht="36" customHeight="1">
      <x:c r="A63" s="90" t="str"/>
      <x:c r="B63" s="90" t="str"/>
      <x:c r="C63" s="90" t="str"/>
      <x:c r="D63" s="90" t="str"/>
      <x:c r="E63" s="90" t="str"/>
      <x:c r="F63" s="90" t="str"/>
      <x:c r="G63" s="90" t="str"/>
      <x:c r="H63" s="90" t="str"/>
      <x:c r="I63" s="98" t="str"/>
      <x:c r="J63" s="98" t="str"/>
      <x:c r="K63" s="90" t="str"/>
      <x:c r="L63" s="98" t="str"/>
      <x:c r="M63" s="98" t="str">
        <x:f>IFERROR(VLOOKUP(B63,'Company Ranking'!$B$5:$H$200,7,FALSE),"")</x:f>
      </x:c>
      <x:c r="N63" s="90" t="str">
        <x:f>IF(A63="","",IF(OR(E63="Yes",F63="No",G63="No",H63="No"),"SKIP",IF(E63="Verify","VERIFY","ELIGIBLE")))</x:f>
      </x:c>
      <x:c r="O63" s="98" t="str">
        <x:f>IF(A63="","",IF(N63="SKIP",0,0.30*M63+0.25*I63+0.25*J63+0.08*IF(K63="Yes",1,0.75)+0.12*L63))</x:f>
      </x:c>
      <x:c r="P63" s="90" t="str">
        <x:f>IF(A63="","",IF(N63="SKIP","Skip",IF(N63="VERIFY","Verify CPT first",IF(O63&gt;=0.75,"Apply immediately",IF(O63&gt;=0.60,"High priority",IF(O63&gt;=0.45,"Apply","Low priority"))))))</x:f>
      </x:c>
      <x:c r="Q63" s="90" t="str">
        <x:f>IF(A63="","",IF(COUNTA(I63:J63)&lt;2,"Incomplete",IF(E63="Verify","Posting verified; CPT unresolved","Posting-informed")))</x:f>
      </x:c>
      <x:c r="R63" s="90" t="str"/>
    </x:row>
    <x:row r="64" ht="36" customHeight="1">
      <x:c r="A64" s="90" t="str"/>
      <x:c r="B64" s="90" t="str"/>
      <x:c r="C64" s="90" t="str"/>
      <x:c r="D64" s="90" t="str"/>
      <x:c r="E64" s="90" t="str"/>
      <x:c r="F64" s="90" t="str"/>
      <x:c r="G64" s="90" t="str"/>
      <x:c r="H64" s="90" t="str"/>
      <x:c r="I64" s="98" t="str"/>
      <x:c r="J64" s="98" t="str"/>
      <x:c r="K64" s="90" t="str"/>
      <x:c r="L64" s="98" t="str"/>
      <x:c r="M64" s="98" t="str">
        <x:f>IFERROR(VLOOKUP(B64,'Company Ranking'!$B$5:$H$200,7,FALSE),"")</x:f>
      </x:c>
      <x:c r="N64" s="90" t="str">
        <x:f>IF(A64="","",IF(OR(E64="Yes",F64="No",G64="No",H64="No"),"SKIP",IF(E64="Verify","VERIFY","ELIGIBLE")))</x:f>
      </x:c>
      <x:c r="O64" s="98" t="str">
        <x:f>IF(A64="","",IF(N64="SKIP",0,0.30*M64+0.25*I64+0.25*J64+0.08*IF(K64="Yes",1,0.75)+0.12*L64))</x:f>
      </x:c>
      <x:c r="P64" s="90" t="str">
        <x:f>IF(A64="","",IF(N64="SKIP","Skip",IF(N64="VERIFY","Verify CPT first",IF(O64&gt;=0.75,"Apply immediately",IF(O64&gt;=0.60,"High priority",IF(O64&gt;=0.45,"Apply","Low priority"))))))</x:f>
      </x:c>
      <x:c r="Q64" s="90" t="str">
        <x:f>IF(A64="","",IF(COUNTA(I64:J64)&lt;2,"Incomplete",IF(E64="Verify","Posting verified; CPT unresolved","Posting-informed")))</x:f>
      </x:c>
      <x:c r="R64" s="90" t="str"/>
    </x:row>
    <x:row r="65" ht="36" customHeight="1">
      <x:c r="A65" s="90" t="str"/>
      <x:c r="B65" s="90" t="str"/>
      <x:c r="C65" s="90" t="str"/>
      <x:c r="D65" s="90" t="str"/>
      <x:c r="E65" s="90" t="str"/>
      <x:c r="F65" s="90" t="str"/>
      <x:c r="G65" s="90" t="str"/>
      <x:c r="H65" s="90" t="str"/>
      <x:c r="I65" s="98" t="str"/>
      <x:c r="J65" s="98" t="str"/>
      <x:c r="K65" s="90" t="str"/>
      <x:c r="L65" s="98" t="str"/>
      <x:c r="M65" s="98" t="str">
        <x:f>IFERROR(VLOOKUP(B65,'Company Ranking'!$B$5:$H$200,7,FALSE),"")</x:f>
      </x:c>
      <x:c r="N65" s="90" t="str">
        <x:f>IF(A65="","",IF(OR(E65="Yes",F65="No",G65="No",H65="No"),"SKIP",IF(E65="Verify","VERIFY","ELIGIBLE")))</x:f>
      </x:c>
      <x:c r="O65" s="98" t="str">
        <x:f>IF(A65="","",IF(N65="SKIP",0,0.30*M65+0.25*I65+0.25*J65+0.08*IF(K65="Yes",1,0.75)+0.12*L65))</x:f>
      </x:c>
      <x:c r="P65" s="90" t="str">
        <x:f>IF(A65="","",IF(N65="SKIP","Skip",IF(N65="VERIFY","Verify CPT first",IF(O65&gt;=0.75,"Apply immediately",IF(O65&gt;=0.60,"High priority",IF(O65&gt;=0.45,"Apply","Low priority"))))))</x:f>
      </x:c>
      <x:c r="Q65" s="90" t="str">
        <x:f>IF(A65="","",IF(COUNTA(I65:J65)&lt;2,"Incomplete",IF(E65="Verify","Posting verified; CPT unresolved","Posting-informed")))</x:f>
      </x:c>
      <x:c r="R65" s="90" t="str"/>
    </x:row>
    <x:row r="66" ht="36" customHeight="1">
      <x:c r="A66" s="90" t="str"/>
      <x:c r="B66" s="90" t="str"/>
      <x:c r="C66" s="90" t="str"/>
      <x:c r="D66" s="90" t="str"/>
      <x:c r="E66" s="90" t="str"/>
      <x:c r="F66" s="90" t="str"/>
      <x:c r="G66" s="90" t="str"/>
      <x:c r="H66" s="90" t="str"/>
      <x:c r="I66" s="98" t="str"/>
      <x:c r="J66" s="98" t="str"/>
      <x:c r="K66" s="90" t="str"/>
      <x:c r="L66" s="98" t="str"/>
      <x:c r="M66" s="98" t="str">
        <x:f>IFERROR(VLOOKUP(B66,'Company Ranking'!$B$5:$H$200,7,FALSE),"")</x:f>
      </x:c>
      <x:c r="N66" s="90" t="str">
        <x:f>IF(A66="","",IF(OR(E66="Yes",F66="No",G66="No",H66="No"),"SKIP",IF(E66="Verify","VERIFY","ELIGIBLE")))</x:f>
      </x:c>
      <x:c r="O66" s="98" t="str">
        <x:f>IF(A66="","",IF(N66="SKIP",0,0.30*M66+0.25*I66+0.25*J66+0.08*IF(K66="Yes",1,0.75)+0.12*L66))</x:f>
      </x:c>
      <x:c r="P66" s="90" t="str">
        <x:f>IF(A66="","",IF(N66="SKIP","Skip",IF(N66="VERIFY","Verify CPT first",IF(O66&gt;=0.75,"Apply immediately",IF(O66&gt;=0.60,"High priority",IF(O66&gt;=0.45,"Apply","Low priority"))))))</x:f>
      </x:c>
      <x:c r="Q66" s="90" t="str">
        <x:f>IF(A66="","",IF(COUNTA(I66:J66)&lt;2,"Incomplete",IF(E66="Verify","Posting verified; CPT unresolved","Posting-informed")))</x:f>
      </x:c>
      <x:c r="R66" s="90" t="str"/>
    </x:row>
    <x:row r="67" ht="36" customHeight="1">
      <x:c r="A67" s="90" t="str"/>
      <x:c r="B67" s="90" t="str"/>
      <x:c r="C67" s="90" t="str"/>
      <x:c r="D67" s="90" t="str"/>
      <x:c r="E67" s="90" t="str"/>
      <x:c r="F67" s="90" t="str"/>
      <x:c r="G67" s="90" t="str"/>
      <x:c r="H67" s="90" t="str"/>
      <x:c r="I67" s="98" t="str"/>
      <x:c r="J67" s="98" t="str"/>
      <x:c r="K67" s="90" t="str"/>
      <x:c r="L67" s="98" t="str"/>
      <x:c r="M67" s="98" t="str">
        <x:f>IFERROR(VLOOKUP(B67,'Company Ranking'!$B$5:$H$200,7,FALSE),"")</x:f>
      </x:c>
      <x:c r="N67" s="90" t="str">
        <x:f>IF(A67="","",IF(OR(E67="Yes",F67="No",G67="No",H67="No"),"SKIP",IF(E67="Verify","VERIFY","ELIGIBLE")))</x:f>
      </x:c>
      <x:c r="O67" s="98" t="str">
        <x:f>IF(A67="","",IF(N67="SKIP",0,0.30*M67+0.25*I67+0.25*J67+0.08*IF(K67="Yes",1,0.75)+0.12*L67))</x:f>
      </x:c>
      <x:c r="P67" s="90" t="str">
        <x:f>IF(A67="","",IF(N67="SKIP","Skip",IF(N67="VERIFY","Verify CPT first",IF(O67&gt;=0.75,"Apply immediately",IF(O67&gt;=0.60,"High priority",IF(O67&gt;=0.45,"Apply","Low priority"))))))</x:f>
      </x:c>
      <x:c r="Q67" s="90" t="str">
        <x:f>IF(A67="","",IF(COUNTA(I67:J67)&lt;2,"Incomplete",IF(E67="Verify","Posting verified; CPT unresolved","Posting-informed")))</x:f>
      </x:c>
      <x:c r="R67" s="90" t="str"/>
    </x:row>
    <x:row r="68" ht="36" customHeight="1">
      <x:c r="A68" s="90" t="str"/>
      <x:c r="B68" s="90" t="str"/>
      <x:c r="C68" s="90" t="str"/>
      <x:c r="D68" s="90" t="str"/>
      <x:c r="E68" s="90" t="str"/>
      <x:c r="F68" s="90" t="str"/>
      <x:c r="G68" s="90" t="str"/>
      <x:c r="H68" s="90" t="str"/>
      <x:c r="I68" s="98" t="str"/>
      <x:c r="J68" s="98" t="str"/>
      <x:c r="K68" s="90" t="str"/>
      <x:c r="L68" s="98" t="str"/>
      <x:c r="M68" s="98" t="str">
        <x:f>IFERROR(VLOOKUP(B68,'Company Ranking'!$B$5:$H$200,7,FALSE),"")</x:f>
      </x:c>
      <x:c r="N68" s="90" t="str">
        <x:f>IF(A68="","",IF(OR(E68="Yes",F68="No",G68="No",H68="No"),"SKIP",IF(E68="Verify","VERIFY","ELIGIBLE")))</x:f>
      </x:c>
      <x:c r="O68" s="98" t="str">
        <x:f>IF(A68="","",IF(N68="SKIP",0,0.30*M68+0.25*I68+0.25*J68+0.08*IF(K68="Yes",1,0.75)+0.12*L68))</x:f>
      </x:c>
      <x:c r="P68" s="90" t="str">
        <x:f>IF(A68="","",IF(N68="SKIP","Skip",IF(N68="VERIFY","Verify CPT first",IF(O68&gt;=0.75,"Apply immediately",IF(O68&gt;=0.60,"High priority",IF(O68&gt;=0.45,"Apply","Low priority"))))))</x:f>
      </x:c>
      <x:c r="Q68" s="90" t="str">
        <x:f>IF(A68="","",IF(COUNTA(I68:J68)&lt;2,"Incomplete",IF(E68="Verify","Posting verified; CPT unresolved","Posting-informed")))</x:f>
      </x:c>
      <x:c r="R68" s="90" t="str"/>
    </x:row>
    <x:row r="69" ht="36" customHeight="1">
      <x:c r="A69" s="90" t="str"/>
      <x:c r="B69" s="90" t="str"/>
      <x:c r="C69" s="90" t="str"/>
      <x:c r="D69" s="90" t="str"/>
      <x:c r="E69" s="90" t="str"/>
      <x:c r="F69" s="90" t="str"/>
      <x:c r="G69" s="90" t="str"/>
      <x:c r="H69" s="90" t="str"/>
      <x:c r="I69" s="98" t="str"/>
      <x:c r="J69" s="98" t="str"/>
      <x:c r="K69" s="90" t="str"/>
      <x:c r="L69" s="98" t="str"/>
      <x:c r="M69" s="98" t="str">
        <x:f>IFERROR(VLOOKUP(B69,'Company Ranking'!$B$5:$H$200,7,FALSE),"")</x:f>
      </x:c>
      <x:c r="N69" s="90" t="str">
        <x:f>IF(A69="","",IF(OR(E69="Yes",F69="No",G69="No",H69="No"),"SKIP",IF(E69="Verify","VERIFY","ELIGIBLE")))</x:f>
      </x:c>
      <x:c r="O69" s="98" t="str">
        <x:f>IF(A69="","",IF(N69="SKIP",0,0.30*M69+0.25*I69+0.25*J69+0.08*IF(K69="Yes",1,0.75)+0.12*L69))</x:f>
      </x:c>
      <x:c r="P69" s="90" t="str">
        <x:f>IF(A69="","",IF(N69="SKIP","Skip",IF(N69="VERIFY","Verify CPT first",IF(O69&gt;=0.75,"Apply immediately",IF(O69&gt;=0.60,"High priority",IF(O69&gt;=0.45,"Apply","Low priority"))))))</x:f>
      </x:c>
      <x:c r="Q69" s="90" t="str">
        <x:f>IF(A69="","",IF(COUNTA(I69:J69)&lt;2,"Incomplete",IF(E69="Verify","Posting verified; CPT unresolved","Posting-informed")))</x:f>
      </x:c>
      <x:c r="R69" s="90" t="str"/>
    </x:row>
    <x:row r="70" ht="36" customHeight="1">
      <x:c r="A70" s="90" t="str"/>
      <x:c r="B70" s="90" t="str"/>
      <x:c r="C70" s="90" t="str"/>
      <x:c r="D70" s="90" t="str"/>
      <x:c r="E70" s="90" t="str"/>
      <x:c r="F70" s="90" t="str"/>
      <x:c r="G70" s="90" t="str"/>
      <x:c r="H70" s="90" t="str"/>
      <x:c r="I70" s="98" t="str"/>
      <x:c r="J70" s="98" t="str"/>
      <x:c r="K70" s="90" t="str"/>
      <x:c r="L70" s="98" t="str"/>
      <x:c r="M70" s="98" t="str">
        <x:f>IFERROR(VLOOKUP(B70,'Company Ranking'!$B$5:$H$200,7,FALSE),"")</x:f>
      </x:c>
      <x:c r="N70" s="90" t="str">
        <x:f>IF(A70="","",IF(OR(E70="Yes",F70="No",G70="No",H70="No"),"SKIP",IF(E70="Verify","VERIFY","ELIGIBLE")))</x:f>
      </x:c>
      <x:c r="O70" s="98" t="str">
        <x:f>IF(A70="","",IF(N70="SKIP",0,0.30*M70+0.25*I70+0.25*J70+0.08*IF(K70="Yes",1,0.75)+0.12*L70))</x:f>
      </x:c>
      <x:c r="P70" s="90" t="str">
        <x:f>IF(A70="","",IF(N70="SKIP","Skip",IF(N70="VERIFY","Verify CPT first",IF(O70&gt;=0.75,"Apply immediately",IF(O70&gt;=0.60,"High priority",IF(O70&gt;=0.45,"Apply","Low priority"))))))</x:f>
      </x:c>
      <x:c r="Q70" s="90" t="str">
        <x:f>IF(A70="","",IF(COUNTA(I70:J70)&lt;2,"Incomplete",IF(E70="Verify","Posting verified; CPT unresolved","Posting-informed")))</x:f>
      </x:c>
      <x:c r="R70" s="90" t="str"/>
    </x:row>
    <x:row r="71" ht="36" customHeight="1">
      <x:c r="A71" s="90" t="str"/>
      <x:c r="B71" s="90" t="str"/>
      <x:c r="C71" s="90" t="str"/>
      <x:c r="D71" s="90" t="str"/>
      <x:c r="E71" s="90" t="str"/>
      <x:c r="F71" s="90" t="str"/>
      <x:c r="G71" s="90" t="str"/>
      <x:c r="H71" s="90" t="str"/>
      <x:c r="I71" s="98" t="str"/>
      <x:c r="J71" s="98" t="str"/>
      <x:c r="K71" s="90" t="str"/>
      <x:c r="L71" s="98" t="str"/>
      <x:c r="M71" s="98" t="str">
        <x:f>IFERROR(VLOOKUP(B71,'Company Ranking'!$B$5:$H$200,7,FALSE),"")</x:f>
      </x:c>
      <x:c r="N71" s="90" t="str">
        <x:f>IF(A71="","",IF(OR(E71="Yes",F71="No",G71="No",H71="No"),"SKIP",IF(E71="Verify","VERIFY","ELIGIBLE")))</x:f>
      </x:c>
      <x:c r="O71" s="98" t="str">
        <x:f>IF(A71="","",IF(N71="SKIP",0,0.30*M71+0.25*I71+0.25*J71+0.08*IF(K71="Yes",1,0.75)+0.12*L71))</x:f>
      </x:c>
      <x:c r="P71" s="90" t="str">
        <x:f>IF(A71="","",IF(N71="SKIP","Skip",IF(N71="VERIFY","Verify CPT first",IF(O71&gt;=0.75,"Apply immediately",IF(O71&gt;=0.60,"High priority",IF(O71&gt;=0.45,"Apply","Low priority"))))))</x:f>
      </x:c>
      <x:c r="Q71" s="90" t="str">
        <x:f>IF(A71="","",IF(COUNTA(I71:J71)&lt;2,"Incomplete",IF(E71="Verify","Posting verified; CPT unresolved","Posting-informed")))</x:f>
      </x:c>
      <x:c r="R71" s="90" t="str"/>
    </x:row>
    <x:row r="72" ht="36" customHeight="1">
      <x:c r="A72" s="90" t="str"/>
      <x:c r="B72" s="90" t="str"/>
      <x:c r="C72" s="90" t="str"/>
      <x:c r="D72" s="90" t="str"/>
      <x:c r="E72" s="90" t="str"/>
      <x:c r="F72" s="90" t="str"/>
      <x:c r="G72" s="90" t="str"/>
      <x:c r="H72" s="90" t="str"/>
      <x:c r="I72" s="98" t="str"/>
      <x:c r="J72" s="98" t="str"/>
      <x:c r="K72" s="90" t="str"/>
      <x:c r="L72" s="98" t="str"/>
      <x:c r="M72" s="98" t="str">
        <x:f>IFERROR(VLOOKUP(B72,'Company Ranking'!$B$5:$H$200,7,FALSE),"")</x:f>
      </x:c>
      <x:c r="N72" s="90" t="str">
        <x:f>IF(A72="","",IF(OR(E72="Yes",F72="No",G72="No",H72="No"),"SKIP",IF(E72="Verify","VERIFY","ELIGIBLE")))</x:f>
      </x:c>
      <x:c r="O72" s="98" t="str">
        <x:f>IF(A72="","",IF(N72="SKIP",0,0.30*M72+0.25*I72+0.25*J72+0.08*IF(K72="Yes",1,0.75)+0.12*L72))</x:f>
      </x:c>
      <x:c r="P72" s="90" t="str">
        <x:f>IF(A72="","",IF(N72="SKIP","Skip",IF(N72="VERIFY","Verify CPT first",IF(O72&gt;=0.75,"Apply immediately",IF(O72&gt;=0.60,"High priority",IF(O72&gt;=0.45,"Apply","Low priority"))))))</x:f>
      </x:c>
      <x:c r="Q72" s="90" t="str">
        <x:f>IF(A72="","",IF(COUNTA(I72:J72)&lt;2,"Incomplete",IF(E72="Verify","Posting verified; CPT unresolved","Posting-informed")))</x:f>
      </x:c>
      <x:c r="R72" s="90" t="str"/>
    </x:row>
    <x:row r="73" ht="36" customHeight="1">
      <x:c r="A73" s="90" t="str"/>
      <x:c r="B73" s="90" t="str"/>
      <x:c r="C73" s="90" t="str"/>
      <x:c r="D73" s="90" t="str"/>
      <x:c r="E73" s="90" t="str"/>
      <x:c r="F73" s="90" t="str"/>
      <x:c r="G73" s="90" t="str"/>
      <x:c r="H73" s="90" t="str"/>
      <x:c r="I73" s="98" t="str"/>
      <x:c r="J73" s="98" t="str"/>
      <x:c r="K73" s="90" t="str"/>
      <x:c r="L73" s="98" t="str"/>
      <x:c r="M73" s="98" t="str">
        <x:f>IFERROR(VLOOKUP(B73,'Company Ranking'!$B$5:$H$200,7,FALSE),"")</x:f>
      </x:c>
      <x:c r="N73" s="90" t="str">
        <x:f>IF(A73="","",IF(OR(E73="Yes",F73="No",G73="No",H73="No"),"SKIP",IF(E73="Verify","VERIFY","ELIGIBLE")))</x:f>
      </x:c>
      <x:c r="O73" s="98" t="str">
        <x:f>IF(A73="","",IF(N73="SKIP",0,0.30*M73+0.25*I73+0.25*J73+0.08*IF(K73="Yes",1,0.75)+0.12*L73))</x:f>
      </x:c>
      <x:c r="P73" s="90" t="str">
        <x:f>IF(A73="","",IF(N73="SKIP","Skip",IF(N73="VERIFY","Verify CPT first",IF(O73&gt;=0.75,"Apply immediately",IF(O73&gt;=0.60,"High priority",IF(O73&gt;=0.45,"Apply","Low priority"))))))</x:f>
      </x:c>
      <x:c r="Q73" s="90" t="str">
        <x:f>IF(A73="","",IF(COUNTA(I73:J73)&lt;2,"Incomplete",IF(E73="Verify","Posting verified; CPT unresolved","Posting-informed")))</x:f>
      </x:c>
      <x:c r="R73" s="90" t="str"/>
    </x:row>
    <x:row r="74" ht="36" customHeight="1">
      <x:c r="A74" s="90" t="str"/>
      <x:c r="B74" s="90" t="str"/>
      <x:c r="C74" s="90" t="str"/>
      <x:c r="D74" s="90" t="str"/>
      <x:c r="E74" s="90" t="str"/>
      <x:c r="F74" s="90" t="str"/>
      <x:c r="G74" s="90" t="str"/>
      <x:c r="H74" s="90" t="str"/>
      <x:c r="I74" s="98" t="str"/>
      <x:c r="J74" s="98" t="str"/>
      <x:c r="K74" s="90" t="str"/>
      <x:c r="L74" s="98" t="str"/>
      <x:c r="M74" s="98" t="str">
        <x:f>IFERROR(VLOOKUP(B74,'Company Ranking'!$B$5:$H$200,7,FALSE),"")</x:f>
      </x:c>
      <x:c r="N74" s="90" t="str">
        <x:f>IF(A74="","",IF(OR(E74="Yes",F74="No",G74="No",H74="No"),"SKIP",IF(E74="Verify","VERIFY","ELIGIBLE")))</x:f>
      </x:c>
      <x:c r="O74" s="98" t="str">
        <x:f>IF(A74="","",IF(N74="SKIP",0,0.30*M74+0.25*I74+0.25*J74+0.08*IF(K74="Yes",1,0.75)+0.12*L74))</x:f>
      </x:c>
      <x:c r="P74" s="90" t="str">
        <x:f>IF(A74="","",IF(N74="SKIP","Skip",IF(N74="VERIFY","Verify CPT first",IF(O74&gt;=0.75,"Apply immediately",IF(O74&gt;=0.60,"High priority",IF(O74&gt;=0.45,"Apply","Low priority"))))))</x:f>
      </x:c>
      <x:c r="Q74" s="90" t="str">
        <x:f>IF(A74="","",IF(COUNTA(I74:J74)&lt;2,"Incomplete",IF(E74="Verify","Posting verified; CPT unresolved","Posting-informed")))</x:f>
      </x:c>
      <x:c r="R74" s="90" t="str"/>
    </x:row>
    <x:row r="75" ht="36" customHeight="1">
      <x:c r="A75" s="90" t="str"/>
      <x:c r="B75" s="90" t="str"/>
      <x:c r="C75" s="90" t="str"/>
      <x:c r="D75" s="90" t="str"/>
      <x:c r="E75" s="90" t="str"/>
      <x:c r="F75" s="90" t="str"/>
      <x:c r="G75" s="90" t="str"/>
      <x:c r="H75" s="90" t="str"/>
      <x:c r="I75" s="98" t="str"/>
      <x:c r="J75" s="98" t="str"/>
      <x:c r="K75" s="90" t="str"/>
      <x:c r="L75" s="98" t="str"/>
      <x:c r="M75" s="98" t="str">
        <x:f>IFERROR(VLOOKUP(B75,'Company Ranking'!$B$5:$H$200,7,FALSE),"")</x:f>
      </x:c>
      <x:c r="N75" s="90" t="str">
        <x:f>IF(A75="","",IF(OR(E75="Yes",F75="No",G75="No",H75="No"),"SKIP",IF(E75="Verify","VERIFY","ELIGIBLE")))</x:f>
      </x:c>
      <x:c r="O75" s="98" t="str">
        <x:f>IF(A75="","",IF(N75="SKIP",0,0.30*M75+0.25*I75+0.25*J75+0.08*IF(K75="Yes",1,0.75)+0.12*L75))</x:f>
      </x:c>
      <x:c r="P75" s="90" t="str">
        <x:f>IF(A75="","",IF(N75="SKIP","Skip",IF(N75="VERIFY","Verify CPT first",IF(O75&gt;=0.75,"Apply immediately",IF(O75&gt;=0.60,"High priority",IF(O75&gt;=0.45,"Apply","Low priority"))))))</x:f>
      </x:c>
      <x:c r="Q75" s="90" t="str">
        <x:f>IF(A75="","",IF(COUNTA(I75:J75)&lt;2,"Incomplete",IF(E75="Verify","Posting verified; CPT unresolved","Posting-informed")))</x:f>
      </x:c>
      <x:c r="R75" s="90" t="str"/>
    </x:row>
    <x:row r="76" ht="36" customHeight="1">
      <x:c r="A76" s="90" t="str"/>
      <x:c r="B76" s="90" t="str"/>
      <x:c r="C76" s="90" t="str"/>
      <x:c r="D76" s="90" t="str"/>
      <x:c r="E76" s="90" t="str"/>
      <x:c r="F76" s="90" t="str"/>
      <x:c r="G76" s="90" t="str"/>
      <x:c r="H76" s="90" t="str"/>
      <x:c r="I76" s="98" t="str"/>
      <x:c r="J76" s="98" t="str"/>
      <x:c r="K76" s="90" t="str"/>
      <x:c r="L76" s="98" t="str"/>
      <x:c r="M76" s="98" t="str">
        <x:f>IFERROR(VLOOKUP(B76,'Company Ranking'!$B$5:$H$200,7,FALSE),"")</x:f>
      </x:c>
      <x:c r="N76" s="90" t="str">
        <x:f>IF(A76="","",IF(OR(E76="Yes",F76="No",G76="No",H76="No"),"SKIP",IF(E76="Verify","VERIFY","ELIGIBLE")))</x:f>
      </x:c>
      <x:c r="O76" s="98" t="str">
        <x:f>IF(A76="","",IF(N76="SKIP",0,0.30*M76+0.25*I76+0.25*J76+0.08*IF(K76="Yes",1,0.75)+0.12*L76))</x:f>
      </x:c>
      <x:c r="P76" s="90" t="str">
        <x:f>IF(A76="","",IF(N76="SKIP","Skip",IF(N76="VERIFY","Verify CPT first",IF(O76&gt;=0.75,"Apply immediately",IF(O76&gt;=0.60,"High priority",IF(O76&gt;=0.45,"Apply","Low priority"))))))</x:f>
      </x:c>
      <x:c r="Q76" s="90" t="str">
        <x:f>IF(A76="","",IF(COUNTA(I76:J76)&lt;2,"Incomplete",IF(E76="Verify","Posting verified; CPT unresolved","Posting-informed")))</x:f>
      </x:c>
      <x:c r="R76" s="90" t="str"/>
    </x:row>
    <x:row r="77" ht="36" customHeight="1">
      <x:c r="A77" s="90" t="str"/>
      <x:c r="B77" s="90" t="str"/>
      <x:c r="C77" s="90" t="str"/>
      <x:c r="D77" s="90" t="str"/>
      <x:c r="E77" s="90" t="str"/>
      <x:c r="F77" s="90" t="str"/>
      <x:c r="G77" s="90" t="str"/>
      <x:c r="H77" s="90" t="str"/>
      <x:c r="I77" s="98" t="str"/>
      <x:c r="J77" s="98" t="str"/>
      <x:c r="K77" s="90" t="str"/>
      <x:c r="L77" s="98" t="str"/>
      <x:c r="M77" s="98" t="str">
        <x:f>IFERROR(VLOOKUP(B77,'Company Ranking'!$B$5:$H$200,7,FALSE),"")</x:f>
      </x:c>
      <x:c r="N77" s="90" t="str">
        <x:f>IF(A77="","",IF(OR(E77="Yes",F77="No",G77="No",H77="No"),"SKIP",IF(E77="Verify","VERIFY","ELIGIBLE")))</x:f>
      </x:c>
      <x:c r="O77" s="98" t="str">
        <x:f>IF(A77="","",IF(N77="SKIP",0,0.30*M77+0.25*I77+0.25*J77+0.08*IF(K77="Yes",1,0.75)+0.12*L77))</x:f>
      </x:c>
      <x:c r="P77" s="90" t="str">
        <x:f>IF(A77="","",IF(N77="SKIP","Skip",IF(N77="VERIFY","Verify CPT first",IF(O77&gt;=0.75,"Apply immediately",IF(O77&gt;=0.60,"High priority",IF(O77&gt;=0.45,"Apply","Low priority"))))))</x:f>
      </x:c>
      <x:c r="Q77" s="90" t="str">
        <x:f>IF(A77="","",IF(COUNTA(I77:J77)&lt;2,"Incomplete",IF(E77="Verify","Posting verified; CPT unresolved","Posting-informed")))</x:f>
      </x:c>
      <x:c r="R77" s="90" t="str"/>
    </x:row>
    <x:row r="78" ht="36" customHeight="1">
      <x:c r="A78" s="90" t="str"/>
      <x:c r="B78" s="90" t="str"/>
      <x:c r="C78" s="90" t="str"/>
      <x:c r="D78" s="90" t="str"/>
      <x:c r="E78" s="90" t="str"/>
      <x:c r="F78" s="90" t="str"/>
      <x:c r="G78" s="90" t="str"/>
      <x:c r="H78" s="90" t="str"/>
      <x:c r="I78" s="98" t="str"/>
      <x:c r="J78" s="98" t="str"/>
      <x:c r="K78" s="90" t="str"/>
      <x:c r="L78" s="98" t="str"/>
      <x:c r="M78" s="98" t="str">
        <x:f>IFERROR(VLOOKUP(B78,'Company Ranking'!$B$5:$H$200,7,FALSE),"")</x:f>
      </x:c>
      <x:c r="N78" s="90" t="str">
        <x:f>IF(A78="","",IF(OR(E78="Yes",F78="No",G78="No",H78="No"),"SKIP",IF(E78="Verify","VERIFY","ELIGIBLE")))</x:f>
      </x:c>
      <x:c r="O78" s="98" t="str">
        <x:f>IF(A78="","",IF(N78="SKIP",0,0.30*M78+0.25*I78+0.25*J78+0.08*IF(K78="Yes",1,0.75)+0.12*L78))</x:f>
      </x:c>
      <x:c r="P78" s="90" t="str">
        <x:f>IF(A78="","",IF(N78="SKIP","Skip",IF(N78="VERIFY","Verify CPT first",IF(O78&gt;=0.75,"Apply immediately",IF(O78&gt;=0.60,"High priority",IF(O78&gt;=0.45,"Apply","Low priority"))))))</x:f>
      </x:c>
      <x:c r="Q78" s="90" t="str">
        <x:f>IF(A78="","",IF(COUNTA(I78:J78)&lt;2,"Incomplete",IF(E78="Verify","Posting verified; CPT unresolved","Posting-informed")))</x:f>
      </x:c>
      <x:c r="R78" s="90" t="str"/>
    </x:row>
    <x:row r="79" ht="36" customHeight="1">
      <x:c r="A79" s="90" t="str"/>
      <x:c r="B79" s="90" t="str"/>
      <x:c r="C79" s="90" t="str"/>
      <x:c r="D79" s="90" t="str"/>
      <x:c r="E79" s="90" t="str"/>
      <x:c r="F79" s="90" t="str"/>
      <x:c r="G79" s="90" t="str"/>
      <x:c r="H79" s="90" t="str"/>
      <x:c r="I79" s="98" t="str"/>
      <x:c r="J79" s="98" t="str"/>
      <x:c r="K79" s="90" t="str"/>
      <x:c r="L79" s="98" t="str"/>
      <x:c r="M79" s="98" t="str">
        <x:f>IFERROR(VLOOKUP(B79,'Company Ranking'!$B$5:$H$200,7,FALSE),"")</x:f>
      </x:c>
      <x:c r="N79" s="90" t="str">
        <x:f>IF(A79="","",IF(OR(E79="Yes",F79="No",G79="No",H79="No"),"SKIP",IF(E79="Verify","VERIFY","ELIGIBLE")))</x:f>
      </x:c>
      <x:c r="O79" s="98" t="str">
        <x:f>IF(A79="","",IF(N79="SKIP",0,0.30*M79+0.25*I79+0.25*J79+0.08*IF(K79="Yes",1,0.75)+0.12*L79))</x:f>
      </x:c>
      <x:c r="P79" s="90" t="str">
        <x:f>IF(A79="","",IF(N79="SKIP","Skip",IF(N79="VERIFY","Verify CPT first",IF(O79&gt;=0.75,"Apply immediately",IF(O79&gt;=0.60,"High priority",IF(O79&gt;=0.45,"Apply","Low priority"))))))</x:f>
      </x:c>
      <x:c r="Q79" s="90" t="str">
        <x:f>IF(A79="","",IF(COUNTA(I79:J79)&lt;2,"Incomplete",IF(E79="Verify","Posting verified; CPT unresolved","Posting-informed")))</x:f>
      </x:c>
      <x:c r="R79" s="90" t="str"/>
    </x:row>
    <x:row r="80" ht="36" customHeight="1">
      <x:c r="A80" s="90" t="str"/>
      <x:c r="B80" s="90" t="str"/>
      <x:c r="C80" s="90" t="str"/>
      <x:c r="D80" s="90" t="str"/>
      <x:c r="E80" s="90" t="str"/>
      <x:c r="F80" s="90" t="str"/>
      <x:c r="G80" s="90" t="str"/>
      <x:c r="H80" s="90" t="str"/>
      <x:c r="I80" s="98" t="str"/>
      <x:c r="J80" s="98" t="str"/>
      <x:c r="K80" s="90" t="str"/>
      <x:c r="L80" s="98" t="str"/>
      <x:c r="M80" s="98" t="str">
        <x:f>IFERROR(VLOOKUP(B80,'Company Ranking'!$B$5:$H$200,7,FALSE),"")</x:f>
      </x:c>
      <x:c r="N80" s="90" t="str">
        <x:f>IF(A80="","",IF(OR(E80="Yes",F80="No",G80="No",H80="No"),"SKIP",IF(E80="Verify","VERIFY","ELIGIBLE")))</x:f>
      </x:c>
      <x:c r="O80" s="98" t="str">
        <x:f>IF(A80="","",IF(N80="SKIP",0,0.30*M80+0.25*I80+0.25*J80+0.08*IF(K80="Yes",1,0.75)+0.12*L80))</x:f>
      </x:c>
      <x:c r="P80" s="90" t="str">
        <x:f>IF(A80="","",IF(N80="SKIP","Skip",IF(N80="VERIFY","Verify CPT first",IF(O80&gt;=0.75,"Apply immediately",IF(O80&gt;=0.60,"High priority",IF(O80&gt;=0.45,"Apply","Low priority"))))))</x:f>
      </x:c>
      <x:c r="Q80" s="90" t="str">
        <x:f>IF(A80="","",IF(COUNTA(I80:J80)&lt;2,"Incomplete",IF(E80="Verify","Posting verified; CPT unresolved","Posting-informed")))</x:f>
      </x:c>
      <x:c r="R80" s="90" t="str"/>
    </x:row>
    <x:row r="81" ht="36" customHeight="1">
      <x:c r="A81" s="90" t="str"/>
      <x:c r="B81" s="90" t="str"/>
      <x:c r="C81" s="90" t="str"/>
      <x:c r="D81" s="90" t="str"/>
      <x:c r="E81" s="90" t="str"/>
      <x:c r="F81" s="90" t="str"/>
      <x:c r="G81" s="90" t="str"/>
      <x:c r="H81" s="90" t="str"/>
      <x:c r="I81" s="98" t="str"/>
      <x:c r="J81" s="98" t="str"/>
      <x:c r="K81" s="90" t="str"/>
      <x:c r="L81" s="98" t="str"/>
      <x:c r="M81" s="98" t="str">
        <x:f>IFERROR(VLOOKUP(B81,'Company Ranking'!$B$5:$H$200,7,FALSE),"")</x:f>
      </x:c>
      <x:c r="N81" s="90" t="str">
        <x:f>IF(A81="","",IF(OR(E81="Yes",F81="No",G81="No",H81="No"),"SKIP",IF(E81="Verify","VERIFY","ELIGIBLE")))</x:f>
      </x:c>
      <x:c r="O81" s="98" t="str">
        <x:f>IF(A81="","",IF(N81="SKIP",0,0.30*M81+0.25*I81+0.25*J81+0.08*IF(K81="Yes",1,0.75)+0.12*L81))</x:f>
      </x:c>
      <x:c r="P81" s="90" t="str">
        <x:f>IF(A81="","",IF(N81="SKIP","Skip",IF(N81="VERIFY","Verify CPT first",IF(O81&gt;=0.75,"Apply immediately",IF(O81&gt;=0.60,"High priority",IF(O81&gt;=0.45,"Apply","Low priority"))))))</x:f>
      </x:c>
      <x:c r="Q81" s="90" t="str">
        <x:f>IF(A81="","",IF(COUNTA(I81:J81)&lt;2,"Incomplete",IF(E81="Verify","Posting verified; CPT unresolved","Posting-informed")))</x:f>
      </x:c>
      <x:c r="R81" s="90" t="str"/>
    </x:row>
    <x:row r="82" ht="36" customHeight="1">
      <x:c r="A82" s="90" t="str"/>
      <x:c r="B82" s="90" t="str"/>
      <x:c r="C82" s="90" t="str"/>
      <x:c r="D82" s="90" t="str"/>
      <x:c r="E82" s="90" t="str"/>
      <x:c r="F82" s="90" t="str"/>
      <x:c r="G82" s="90" t="str"/>
      <x:c r="H82" s="90" t="str"/>
      <x:c r="I82" s="98" t="str"/>
      <x:c r="J82" s="98" t="str"/>
      <x:c r="K82" s="90" t="str"/>
      <x:c r="L82" s="98" t="str"/>
      <x:c r="M82" s="98" t="str">
        <x:f>IFERROR(VLOOKUP(B82,'Company Ranking'!$B$5:$H$200,7,FALSE),"")</x:f>
      </x:c>
      <x:c r="N82" s="90" t="str">
        <x:f>IF(A82="","",IF(OR(E82="Yes",F82="No",G82="No",H82="No"),"SKIP",IF(E82="Verify","VERIFY","ELIGIBLE")))</x:f>
      </x:c>
      <x:c r="O82" s="98" t="str">
        <x:f>IF(A82="","",IF(N82="SKIP",0,0.30*M82+0.25*I82+0.25*J82+0.08*IF(K82="Yes",1,0.75)+0.12*L82))</x:f>
      </x:c>
      <x:c r="P82" s="90" t="str">
        <x:f>IF(A82="","",IF(N82="SKIP","Skip",IF(N82="VERIFY","Verify CPT first",IF(O82&gt;=0.75,"Apply immediately",IF(O82&gt;=0.60,"High priority",IF(O82&gt;=0.45,"Apply","Low priority"))))))</x:f>
      </x:c>
      <x:c r="Q82" s="90" t="str">
        <x:f>IF(A82="","",IF(COUNTA(I82:J82)&lt;2,"Incomplete",IF(E82="Verify","Posting verified; CPT unresolved","Posting-informed")))</x:f>
      </x:c>
      <x:c r="R82" s="90" t="str"/>
    </x:row>
    <x:row r="83" ht="36" customHeight="1">
      <x:c r="A83" s="90" t="str"/>
      <x:c r="B83" s="90" t="str"/>
      <x:c r="C83" s="90" t="str"/>
      <x:c r="D83" s="90" t="str"/>
      <x:c r="E83" s="90" t="str"/>
      <x:c r="F83" s="90" t="str"/>
      <x:c r="G83" s="90" t="str"/>
      <x:c r="H83" s="90" t="str"/>
      <x:c r="I83" s="98" t="str"/>
      <x:c r="J83" s="98" t="str"/>
      <x:c r="K83" s="90" t="str"/>
      <x:c r="L83" s="98" t="str"/>
      <x:c r="M83" s="98" t="str">
        <x:f>IFERROR(VLOOKUP(B83,'Company Ranking'!$B$5:$H$200,7,FALSE),"")</x:f>
      </x:c>
      <x:c r="N83" s="90" t="str">
        <x:f>IF(A83="","",IF(OR(E83="Yes",F83="No",G83="No",H83="No"),"SKIP",IF(E83="Verify","VERIFY","ELIGIBLE")))</x:f>
      </x:c>
      <x:c r="O83" s="98" t="str">
        <x:f>IF(A83="","",IF(N83="SKIP",0,0.30*M83+0.25*I83+0.25*J83+0.08*IF(K83="Yes",1,0.75)+0.12*L83))</x:f>
      </x:c>
      <x:c r="P83" s="90" t="str">
        <x:f>IF(A83="","",IF(N83="SKIP","Skip",IF(N83="VERIFY","Verify CPT first",IF(O83&gt;=0.75,"Apply immediately",IF(O83&gt;=0.60,"High priority",IF(O83&gt;=0.45,"Apply","Low priority"))))))</x:f>
      </x:c>
      <x:c r="Q83" s="90" t="str">
        <x:f>IF(A83="","",IF(COUNTA(I83:J83)&lt;2,"Incomplete",IF(E83="Verify","Posting verified; CPT unresolved","Posting-informed")))</x:f>
      </x:c>
      <x:c r="R83" s="90" t="str"/>
    </x:row>
    <x:row r="84" ht="36" customHeight="1">
      <x:c r="A84" s="90" t="str"/>
      <x:c r="B84" s="90" t="str"/>
      <x:c r="C84" s="90" t="str"/>
      <x:c r="D84" s="90" t="str"/>
      <x:c r="E84" s="90" t="str"/>
      <x:c r="F84" s="90" t="str"/>
      <x:c r="G84" s="90" t="str"/>
      <x:c r="H84" s="90" t="str"/>
      <x:c r="I84" s="98" t="str"/>
      <x:c r="J84" s="98" t="str"/>
      <x:c r="K84" s="90" t="str"/>
      <x:c r="L84" s="98" t="str"/>
      <x:c r="M84" s="98" t="str">
        <x:f>IFERROR(VLOOKUP(B84,'Company Ranking'!$B$5:$H$200,7,FALSE),"")</x:f>
      </x:c>
      <x:c r="N84" s="90" t="str">
        <x:f>IF(A84="","",IF(OR(E84="Yes",F84="No",G84="No",H84="No"),"SKIP",IF(E84="Verify","VERIFY","ELIGIBLE")))</x:f>
      </x:c>
      <x:c r="O84" s="98" t="str">
        <x:f>IF(A84="","",IF(N84="SKIP",0,0.30*M84+0.25*I84+0.25*J84+0.08*IF(K84="Yes",1,0.75)+0.12*L84))</x:f>
      </x:c>
      <x:c r="P84" s="90" t="str">
        <x:f>IF(A84="","",IF(N84="SKIP","Skip",IF(N84="VERIFY","Verify CPT first",IF(O84&gt;=0.75,"Apply immediately",IF(O84&gt;=0.60,"High priority",IF(O84&gt;=0.45,"Apply","Low priority"))))))</x:f>
      </x:c>
      <x:c r="Q84" s="90" t="str">
        <x:f>IF(A84="","",IF(COUNTA(I84:J84)&lt;2,"Incomplete",IF(E84="Verify","Posting verified; CPT unresolved","Posting-informed")))</x:f>
      </x:c>
      <x:c r="R84" s="90" t="str"/>
    </x:row>
    <x:row r="85" ht="36" customHeight="1">
      <x:c r="A85" s="90" t="str"/>
      <x:c r="B85" s="90" t="str"/>
      <x:c r="C85" s="90" t="str"/>
      <x:c r="D85" s="90" t="str"/>
      <x:c r="E85" s="90" t="str"/>
      <x:c r="F85" s="90" t="str"/>
      <x:c r="G85" s="90" t="str"/>
      <x:c r="H85" s="90" t="str"/>
      <x:c r="I85" s="98" t="str"/>
      <x:c r="J85" s="98" t="str"/>
      <x:c r="K85" s="90" t="str"/>
      <x:c r="L85" s="98" t="str"/>
      <x:c r="M85" s="98" t="str">
        <x:f>IFERROR(VLOOKUP(B85,'Company Ranking'!$B$5:$H$200,7,FALSE),"")</x:f>
      </x:c>
      <x:c r="N85" s="90" t="str">
        <x:f>IF(A85="","",IF(OR(E85="Yes",F85="No",G85="No",H85="No"),"SKIP",IF(E85="Verify","VERIFY","ELIGIBLE")))</x:f>
      </x:c>
      <x:c r="O85" s="98" t="str">
        <x:f>IF(A85="","",IF(N85="SKIP",0,0.30*M85+0.25*I85+0.25*J85+0.08*IF(K85="Yes",1,0.75)+0.12*L85))</x:f>
      </x:c>
      <x:c r="P85" s="90" t="str">
        <x:f>IF(A85="","",IF(N85="SKIP","Skip",IF(N85="VERIFY","Verify CPT first",IF(O85&gt;=0.75,"Apply immediately",IF(O85&gt;=0.60,"High priority",IF(O85&gt;=0.45,"Apply","Low priority"))))))</x:f>
      </x:c>
      <x:c r="Q85" s="90" t="str">
        <x:f>IF(A85="","",IF(COUNTA(I85:J85)&lt;2,"Incomplete",IF(E85="Verify","Posting verified; CPT unresolved","Posting-informed")))</x:f>
      </x:c>
      <x:c r="R85" s="90" t="str"/>
    </x:row>
    <x:row r="86" ht="36" customHeight="1">
      <x:c r="A86" s="90" t="str"/>
      <x:c r="B86" s="90" t="str"/>
      <x:c r="C86" s="90" t="str"/>
      <x:c r="D86" s="90" t="str"/>
      <x:c r="E86" s="90" t="str"/>
      <x:c r="F86" s="90" t="str"/>
      <x:c r="G86" s="90" t="str"/>
      <x:c r="H86" s="90" t="str"/>
      <x:c r="I86" s="98" t="str"/>
      <x:c r="J86" s="98" t="str"/>
      <x:c r="K86" s="90" t="str"/>
      <x:c r="L86" s="98" t="str"/>
      <x:c r="M86" s="98" t="str">
        <x:f>IFERROR(VLOOKUP(B86,'Company Ranking'!$B$5:$H$200,7,FALSE),"")</x:f>
      </x:c>
      <x:c r="N86" s="90" t="str">
        <x:f>IF(A86="","",IF(OR(E86="Yes",F86="No",G86="No",H86="No"),"SKIP",IF(E86="Verify","VERIFY","ELIGIBLE")))</x:f>
      </x:c>
      <x:c r="O86" s="98" t="str">
        <x:f>IF(A86="","",IF(N86="SKIP",0,0.30*M86+0.25*I86+0.25*J86+0.08*IF(K86="Yes",1,0.75)+0.12*L86))</x:f>
      </x:c>
      <x:c r="P86" s="90" t="str">
        <x:f>IF(A86="","",IF(N86="SKIP","Skip",IF(N86="VERIFY","Verify CPT first",IF(O86&gt;=0.75,"Apply immediately",IF(O86&gt;=0.60,"High priority",IF(O86&gt;=0.45,"Apply","Low priority"))))))</x:f>
      </x:c>
      <x:c r="Q86" s="90" t="str">
        <x:f>IF(A86="","",IF(COUNTA(I86:J86)&lt;2,"Incomplete",IF(E86="Verify","Posting verified; CPT unresolved","Posting-informed")))</x:f>
      </x:c>
      <x:c r="R86" s="90" t="str"/>
    </x:row>
    <x:row r="87" ht="36" customHeight="1">
      <x:c r="A87" s="90" t="str"/>
      <x:c r="B87" s="90" t="str"/>
      <x:c r="C87" s="90" t="str"/>
      <x:c r="D87" s="90" t="str"/>
      <x:c r="E87" s="90" t="str"/>
      <x:c r="F87" s="90" t="str"/>
      <x:c r="G87" s="90" t="str"/>
      <x:c r="H87" s="90" t="str"/>
      <x:c r="I87" s="98" t="str"/>
      <x:c r="J87" s="98" t="str"/>
      <x:c r="K87" s="90" t="str"/>
      <x:c r="L87" s="98" t="str"/>
      <x:c r="M87" s="98" t="str">
        <x:f>IFERROR(VLOOKUP(B87,'Company Ranking'!$B$5:$H$200,7,FALSE),"")</x:f>
      </x:c>
      <x:c r="N87" s="90" t="str">
        <x:f>IF(A87="","",IF(OR(E87="Yes",F87="No",G87="No",H87="No"),"SKIP",IF(E87="Verify","VERIFY","ELIGIBLE")))</x:f>
      </x:c>
      <x:c r="O87" s="98" t="str">
        <x:f>IF(A87="","",IF(N87="SKIP",0,0.30*M87+0.25*I87+0.25*J87+0.08*IF(K87="Yes",1,0.75)+0.12*L87))</x:f>
      </x:c>
      <x:c r="P87" s="90" t="str">
        <x:f>IF(A87="","",IF(N87="SKIP","Skip",IF(N87="VERIFY","Verify CPT first",IF(O87&gt;=0.75,"Apply immediately",IF(O87&gt;=0.60,"High priority",IF(O87&gt;=0.45,"Apply","Low priority"))))))</x:f>
      </x:c>
      <x:c r="Q87" s="90" t="str">
        <x:f>IF(A87="","",IF(COUNTA(I87:J87)&lt;2,"Incomplete",IF(E87="Verify","Posting verified; CPT unresolved","Posting-informed")))</x:f>
      </x:c>
      <x:c r="R87" s="90" t="str"/>
    </x:row>
    <x:row r="88" ht="36" customHeight="1">
      <x:c r="A88" s="90" t="str"/>
      <x:c r="B88" s="90" t="str"/>
      <x:c r="C88" s="90" t="str"/>
      <x:c r="D88" s="90" t="str"/>
      <x:c r="E88" s="90" t="str"/>
      <x:c r="F88" s="90" t="str"/>
      <x:c r="G88" s="90" t="str"/>
      <x:c r="H88" s="90" t="str"/>
      <x:c r="I88" s="98" t="str"/>
      <x:c r="J88" s="98" t="str"/>
      <x:c r="K88" s="90" t="str"/>
      <x:c r="L88" s="98" t="str"/>
      <x:c r="M88" s="98" t="str">
        <x:f>IFERROR(VLOOKUP(B88,'Company Ranking'!$B$5:$H$200,7,FALSE),"")</x:f>
      </x:c>
      <x:c r="N88" s="90" t="str">
        <x:f>IF(A88="","",IF(OR(E88="Yes",F88="No",G88="No",H88="No"),"SKIP",IF(E88="Verify","VERIFY","ELIGIBLE")))</x:f>
      </x:c>
      <x:c r="O88" s="98" t="str">
        <x:f>IF(A88="","",IF(N88="SKIP",0,0.30*M88+0.25*I88+0.25*J88+0.08*IF(K88="Yes",1,0.75)+0.12*L88))</x:f>
      </x:c>
      <x:c r="P88" s="90" t="str">
        <x:f>IF(A88="","",IF(N88="SKIP","Skip",IF(N88="VERIFY","Verify CPT first",IF(O88&gt;=0.75,"Apply immediately",IF(O88&gt;=0.60,"High priority",IF(O88&gt;=0.45,"Apply","Low priority"))))))</x:f>
      </x:c>
      <x:c r="Q88" s="90" t="str">
        <x:f>IF(A88="","",IF(COUNTA(I88:J88)&lt;2,"Incomplete",IF(E88="Verify","Posting verified; CPT unresolved","Posting-informed")))</x:f>
      </x:c>
      <x:c r="R88" s="90" t="str"/>
    </x:row>
    <x:row r="89" ht="36" customHeight="1">
      <x:c r="A89" s="90" t="str"/>
      <x:c r="B89" s="90" t="str"/>
      <x:c r="C89" s="90" t="str"/>
      <x:c r="D89" s="90" t="str"/>
      <x:c r="E89" s="90" t="str"/>
      <x:c r="F89" s="90" t="str"/>
      <x:c r="G89" s="90" t="str"/>
      <x:c r="H89" s="90" t="str"/>
      <x:c r="I89" s="98" t="str"/>
      <x:c r="J89" s="98" t="str"/>
      <x:c r="K89" s="90" t="str"/>
      <x:c r="L89" s="98" t="str"/>
      <x:c r="M89" s="98" t="str">
        <x:f>IFERROR(VLOOKUP(B89,'Company Ranking'!$B$5:$H$200,7,FALSE),"")</x:f>
      </x:c>
      <x:c r="N89" s="90" t="str">
        <x:f>IF(A89="","",IF(OR(E89="Yes",F89="No",G89="No",H89="No"),"SKIP",IF(E89="Verify","VERIFY","ELIGIBLE")))</x:f>
      </x:c>
      <x:c r="O89" s="98" t="str">
        <x:f>IF(A89="","",IF(N89="SKIP",0,0.30*M89+0.25*I89+0.25*J89+0.08*IF(K89="Yes",1,0.75)+0.12*L89))</x:f>
      </x:c>
      <x:c r="P89" s="90" t="str">
        <x:f>IF(A89="","",IF(N89="SKIP","Skip",IF(N89="VERIFY","Verify CPT first",IF(O89&gt;=0.75,"Apply immediately",IF(O89&gt;=0.60,"High priority",IF(O89&gt;=0.45,"Apply","Low priority"))))))</x:f>
      </x:c>
      <x:c r="Q89" s="90" t="str">
        <x:f>IF(A89="","",IF(COUNTA(I89:J89)&lt;2,"Incomplete",IF(E89="Verify","Posting verified; CPT unresolved","Posting-informed")))</x:f>
      </x:c>
      <x:c r="R89" s="90" t="str"/>
    </x:row>
    <x:row r="90" ht="36" customHeight="1">
      <x:c r="A90" s="90" t="str"/>
      <x:c r="B90" s="90" t="str"/>
      <x:c r="C90" s="90" t="str"/>
      <x:c r="D90" s="90" t="str"/>
      <x:c r="E90" s="90" t="str"/>
      <x:c r="F90" s="90" t="str"/>
      <x:c r="G90" s="90" t="str"/>
      <x:c r="H90" s="90" t="str"/>
      <x:c r="I90" s="98" t="str"/>
      <x:c r="J90" s="98" t="str"/>
      <x:c r="K90" s="90" t="str"/>
      <x:c r="L90" s="98" t="str"/>
      <x:c r="M90" s="98" t="str">
        <x:f>IFERROR(VLOOKUP(B90,'Company Ranking'!$B$5:$H$200,7,FALSE),"")</x:f>
      </x:c>
      <x:c r="N90" s="90" t="str">
        <x:f>IF(A90="","",IF(OR(E90="Yes",F90="No",G90="No",H90="No"),"SKIP",IF(E90="Verify","VERIFY","ELIGIBLE")))</x:f>
      </x:c>
      <x:c r="O90" s="98" t="str">
        <x:f>IF(A90="","",IF(N90="SKIP",0,0.30*M90+0.25*I90+0.25*J90+0.08*IF(K90="Yes",1,0.75)+0.12*L90))</x:f>
      </x:c>
      <x:c r="P90" s="90" t="str">
        <x:f>IF(A90="","",IF(N90="SKIP","Skip",IF(N90="VERIFY","Verify CPT first",IF(O90&gt;=0.75,"Apply immediately",IF(O90&gt;=0.60,"High priority",IF(O90&gt;=0.45,"Apply","Low priority"))))))</x:f>
      </x:c>
      <x:c r="Q90" s="90" t="str">
        <x:f>IF(A90="","",IF(COUNTA(I90:J90)&lt;2,"Incomplete",IF(E90="Verify","Posting verified; CPT unresolved","Posting-informed")))</x:f>
      </x:c>
      <x:c r="R90" s="90" t="str"/>
    </x:row>
    <x:row r="91" ht="36" customHeight="1">
      <x:c r="A91" s="90" t="str"/>
      <x:c r="B91" s="90" t="str"/>
      <x:c r="C91" s="90" t="str"/>
      <x:c r="D91" s="90" t="str"/>
      <x:c r="E91" s="90" t="str"/>
      <x:c r="F91" s="90" t="str"/>
      <x:c r="G91" s="90" t="str"/>
      <x:c r="H91" s="90" t="str"/>
      <x:c r="I91" s="98" t="str"/>
      <x:c r="J91" s="98" t="str"/>
      <x:c r="K91" s="90" t="str"/>
      <x:c r="L91" s="98" t="str"/>
      <x:c r="M91" s="98" t="str">
        <x:f>IFERROR(VLOOKUP(B91,'Company Ranking'!$B$5:$H$200,7,FALSE),"")</x:f>
      </x:c>
      <x:c r="N91" s="90" t="str">
        <x:f>IF(A91="","",IF(OR(E91="Yes",F91="No",G91="No",H91="No"),"SKIP",IF(E91="Verify","VERIFY","ELIGIBLE")))</x:f>
      </x:c>
      <x:c r="O91" s="98" t="str">
        <x:f>IF(A91="","",IF(N91="SKIP",0,0.30*M91+0.25*I91+0.25*J91+0.08*IF(K91="Yes",1,0.75)+0.12*L91))</x:f>
      </x:c>
      <x:c r="P91" s="90" t="str">
        <x:f>IF(A91="","",IF(N91="SKIP","Skip",IF(N91="VERIFY","Verify CPT first",IF(O91&gt;=0.75,"Apply immediately",IF(O91&gt;=0.60,"High priority",IF(O91&gt;=0.45,"Apply","Low priority"))))))</x:f>
      </x:c>
      <x:c r="Q91" s="90" t="str">
        <x:f>IF(A91="","",IF(COUNTA(I91:J91)&lt;2,"Incomplete",IF(E91="Verify","Posting verified; CPT unresolved","Posting-informed")))</x:f>
      </x:c>
      <x:c r="R91" s="90" t="str"/>
    </x:row>
    <x:row r="92" ht="36" customHeight="1">
      <x:c r="A92" s="90" t="str"/>
      <x:c r="B92" s="90" t="str"/>
      <x:c r="C92" s="90" t="str"/>
      <x:c r="D92" s="90" t="str"/>
      <x:c r="E92" s="90" t="str"/>
      <x:c r="F92" s="90" t="str"/>
      <x:c r="G92" s="90" t="str"/>
      <x:c r="H92" s="90" t="str"/>
      <x:c r="I92" s="98" t="str"/>
      <x:c r="J92" s="98" t="str"/>
      <x:c r="K92" s="90" t="str"/>
      <x:c r="L92" s="98" t="str"/>
      <x:c r="M92" s="98" t="str">
        <x:f>IFERROR(VLOOKUP(B92,'Company Ranking'!$B$5:$H$200,7,FALSE),"")</x:f>
      </x:c>
      <x:c r="N92" s="90" t="str">
        <x:f>IF(A92="","",IF(OR(E92="Yes",F92="No",G92="No",H92="No"),"SKIP",IF(E92="Verify","VERIFY","ELIGIBLE")))</x:f>
      </x:c>
      <x:c r="O92" s="98" t="str">
        <x:f>IF(A92="","",IF(N92="SKIP",0,0.30*M92+0.25*I92+0.25*J92+0.08*IF(K92="Yes",1,0.75)+0.12*L92))</x:f>
      </x:c>
      <x:c r="P92" s="90" t="str">
        <x:f>IF(A92="","",IF(N92="SKIP","Skip",IF(N92="VERIFY","Verify CPT first",IF(O92&gt;=0.75,"Apply immediately",IF(O92&gt;=0.60,"High priority",IF(O92&gt;=0.45,"Apply","Low priority"))))))</x:f>
      </x:c>
      <x:c r="Q92" s="90" t="str">
        <x:f>IF(A92="","",IF(COUNTA(I92:J92)&lt;2,"Incomplete",IF(E92="Verify","Posting verified; CPT unresolved","Posting-informed")))</x:f>
      </x:c>
      <x:c r="R92" s="90" t="str"/>
    </x:row>
    <x:row r="93" ht="36" customHeight="1">
      <x:c r="A93" s="90" t="str"/>
      <x:c r="B93" s="90" t="str"/>
      <x:c r="C93" s="90" t="str"/>
      <x:c r="D93" s="90" t="str"/>
      <x:c r="E93" s="90" t="str"/>
      <x:c r="F93" s="90" t="str"/>
      <x:c r="G93" s="90" t="str"/>
      <x:c r="H93" s="90" t="str"/>
      <x:c r="I93" s="98" t="str"/>
      <x:c r="J93" s="98" t="str"/>
      <x:c r="K93" s="90" t="str"/>
      <x:c r="L93" s="98" t="str"/>
      <x:c r="M93" s="98" t="str">
        <x:f>IFERROR(VLOOKUP(B93,'Company Ranking'!$B$5:$H$200,7,FALSE),"")</x:f>
      </x:c>
      <x:c r="N93" s="90" t="str">
        <x:f>IF(A93="","",IF(OR(E93="Yes",F93="No",G93="No",H93="No"),"SKIP",IF(E93="Verify","VERIFY","ELIGIBLE")))</x:f>
      </x:c>
      <x:c r="O93" s="98" t="str">
        <x:f>IF(A93="","",IF(N93="SKIP",0,0.30*M93+0.25*I93+0.25*J93+0.08*IF(K93="Yes",1,0.75)+0.12*L93))</x:f>
      </x:c>
      <x:c r="P93" s="90" t="str">
        <x:f>IF(A93="","",IF(N93="SKIP","Skip",IF(N93="VERIFY","Verify CPT first",IF(O93&gt;=0.75,"Apply immediately",IF(O93&gt;=0.60,"High priority",IF(O93&gt;=0.45,"Apply","Low priority"))))))</x:f>
      </x:c>
      <x:c r="Q93" s="90" t="str">
        <x:f>IF(A93="","",IF(COUNTA(I93:J93)&lt;2,"Incomplete",IF(E93="Verify","Posting verified; CPT unresolved","Posting-informed")))</x:f>
      </x:c>
      <x:c r="R93" s="90" t="str"/>
    </x:row>
    <x:row r="94" ht="36" customHeight="1">
      <x:c r="A94" s="90" t="str"/>
      <x:c r="B94" s="90" t="str"/>
      <x:c r="C94" s="90" t="str"/>
      <x:c r="D94" s="90" t="str"/>
      <x:c r="E94" s="90" t="str"/>
      <x:c r="F94" s="90" t="str"/>
      <x:c r="G94" s="90" t="str"/>
      <x:c r="H94" s="90" t="str"/>
      <x:c r="I94" s="98" t="str"/>
      <x:c r="J94" s="98" t="str"/>
      <x:c r="K94" s="90" t="str"/>
      <x:c r="L94" s="98" t="str"/>
      <x:c r="M94" s="98" t="str">
        <x:f>IFERROR(VLOOKUP(B94,'Company Ranking'!$B$5:$H$200,7,FALSE),"")</x:f>
      </x:c>
      <x:c r="N94" s="90" t="str">
        <x:f>IF(A94="","",IF(OR(E94="Yes",F94="No",G94="No",H94="No"),"SKIP",IF(E94="Verify","VERIFY","ELIGIBLE")))</x:f>
      </x:c>
      <x:c r="O94" s="98" t="str">
        <x:f>IF(A94="","",IF(N94="SKIP",0,0.30*M94+0.25*I94+0.25*J94+0.08*IF(K94="Yes",1,0.75)+0.12*L94))</x:f>
      </x:c>
      <x:c r="P94" s="90" t="str">
        <x:f>IF(A94="","",IF(N94="SKIP","Skip",IF(N94="VERIFY","Verify CPT first",IF(O94&gt;=0.75,"Apply immediately",IF(O94&gt;=0.60,"High priority",IF(O94&gt;=0.45,"Apply","Low priority"))))))</x:f>
      </x:c>
      <x:c r="Q94" s="90" t="str">
        <x:f>IF(A94="","",IF(COUNTA(I94:J94)&lt;2,"Incomplete",IF(E94="Verify","Posting verified; CPT unresolved","Posting-informed")))</x:f>
      </x:c>
      <x:c r="R94" s="90" t="str"/>
    </x:row>
    <x:row r="95" ht="36" customHeight="1">
      <x:c r="A95" s="90" t="str"/>
      <x:c r="B95" s="90" t="str"/>
      <x:c r="C95" s="90" t="str"/>
      <x:c r="D95" s="90" t="str"/>
      <x:c r="E95" s="90" t="str"/>
      <x:c r="F95" s="90" t="str"/>
      <x:c r="G95" s="90" t="str"/>
      <x:c r="H95" s="90" t="str"/>
      <x:c r="I95" s="98" t="str"/>
      <x:c r="J95" s="98" t="str"/>
      <x:c r="K95" s="90" t="str"/>
      <x:c r="L95" s="98" t="str"/>
      <x:c r="M95" s="98" t="str">
        <x:f>IFERROR(VLOOKUP(B95,'Company Ranking'!$B$5:$H$200,7,FALSE),"")</x:f>
      </x:c>
      <x:c r="N95" s="90" t="str">
        <x:f>IF(A95="","",IF(OR(E95="Yes",F95="No",G95="No",H95="No"),"SKIP",IF(E95="Verify","VERIFY","ELIGIBLE")))</x:f>
      </x:c>
      <x:c r="O95" s="98" t="str">
        <x:f>IF(A95="","",IF(N95="SKIP",0,0.30*M95+0.25*I95+0.25*J95+0.08*IF(K95="Yes",1,0.75)+0.12*L95))</x:f>
      </x:c>
      <x:c r="P95" s="90" t="str">
        <x:f>IF(A95="","",IF(N95="SKIP","Skip",IF(N95="VERIFY","Verify CPT first",IF(O95&gt;=0.75,"Apply immediately",IF(O95&gt;=0.60,"High priority",IF(O95&gt;=0.45,"Apply","Low priority"))))))</x:f>
      </x:c>
      <x:c r="Q95" s="90" t="str">
        <x:f>IF(A95="","",IF(COUNTA(I95:J95)&lt;2,"Incomplete",IF(E95="Verify","Posting verified; CPT unresolved","Posting-informed")))</x:f>
      </x:c>
      <x:c r="R95" s="90" t="str"/>
    </x:row>
    <x:row r="96" ht="36" customHeight="1">
      <x:c r="A96" s="90" t="str"/>
      <x:c r="B96" s="90" t="str"/>
      <x:c r="C96" s="90" t="str"/>
      <x:c r="D96" s="90" t="str"/>
      <x:c r="E96" s="90" t="str"/>
      <x:c r="F96" s="90" t="str"/>
      <x:c r="G96" s="90" t="str"/>
      <x:c r="H96" s="90" t="str"/>
      <x:c r="I96" s="98" t="str"/>
      <x:c r="J96" s="98" t="str"/>
      <x:c r="K96" s="90" t="str"/>
      <x:c r="L96" s="98" t="str"/>
      <x:c r="M96" s="98" t="str">
        <x:f>IFERROR(VLOOKUP(B96,'Company Ranking'!$B$5:$H$200,7,FALSE),"")</x:f>
      </x:c>
      <x:c r="N96" s="90" t="str">
        <x:f>IF(A96="","",IF(OR(E96="Yes",F96="No",G96="No",H96="No"),"SKIP",IF(E96="Verify","VERIFY","ELIGIBLE")))</x:f>
      </x:c>
      <x:c r="O96" s="98" t="str">
        <x:f>IF(A96="","",IF(N96="SKIP",0,0.30*M96+0.25*I96+0.25*J96+0.08*IF(K96="Yes",1,0.75)+0.12*L96))</x:f>
      </x:c>
      <x:c r="P96" s="90" t="str">
        <x:f>IF(A96="","",IF(N96="SKIP","Skip",IF(N96="VERIFY","Verify CPT first",IF(O96&gt;=0.75,"Apply immediately",IF(O96&gt;=0.60,"High priority",IF(O96&gt;=0.45,"Apply","Low priority"))))))</x:f>
      </x:c>
      <x:c r="Q96" s="90" t="str">
        <x:f>IF(A96="","",IF(COUNTA(I96:J96)&lt;2,"Incomplete",IF(E96="Verify","Posting verified; CPT unresolved","Posting-informed")))</x:f>
      </x:c>
      <x:c r="R96" s="90" t="str"/>
    </x:row>
    <x:row r="97" ht="36" customHeight="1">
      <x:c r="A97" s="90" t="str"/>
      <x:c r="B97" s="90" t="str"/>
      <x:c r="C97" s="90" t="str"/>
      <x:c r="D97" s="90" t="str"/>
      <x:c r="E97" s="90" t="str"/>
      <x:c r="F97" s="90" t="str"/>
      <x:c r="G97" s="90" t="str"/>
      <x:c r="H97" s="90" t="str"/>
      <x:c r="I97" s="98" t="str"/>
      <x:c r="J97" s="98" t="str"/>
      <x:c r="K97" s="90" t="str"/>
      <x:c r="L97" s="98" t="str"/>
      <x:c r="M97" s="98" t="str">
        <x:f>IFERROR(VLOOKUP(B97,'Company Ranking'!$B$5:$H$200,7,FALSE),"")</x:f>
      </x:c>
      <x:c r="N97" s="90" t="str">
        <x:f>IF(A97="","",IF(OR(E97="Yes",F97="No",G97="No",H97="No"),"SKIP",IF(E97="Verify","VERIFY","ELIGIBLE")))</x:f>
      </x:c>
      <x:c r="O97" s="98" t="str">
        <x:f>IF(A97="","",IF(N97="SKIP",0,0.30*M97+0.25*I97+0.25*J97+0.08*IF(K97="Yes",1,0.75)+0.12*L97))</x:f>
      </x:c>
      <x:c r="P97" s="90" t="str">
        <x:f>IF(A97="","",IF(N97="SKIP","Skip",IF(N97="VERIFY","Verify CPT first",IF(O97&gt;=0.75,"Apply immediately",IF(O97&gt;=0.60,"High priority",IF(O97&gt;=0.45,"Apply","Low priority"))))))</x:f>
      </x:c>
      <x:c r="Q97" s="90" t="str">
        <x:f>IF(A97="","",IF(COUNTA(I97:J97)&lt;2,"Incomplete",IF(E97="Verify","Posting verified; CPT unresolved","Posting-informed")))</x:f>
      </x:c>
      <x:c r="R97" s="90" t="str"/>
    </x:row>
    <x:row r="98" ht="36" customHeight="1">
      <x:c r="A98" s="90" t="str"/>
      <x:c r="B98" s="90" t="str"/>
      <x:c r="C98" s="90" t="str"/>
      <x:c r="D98" s="90" t="str"/>
      <x:c r="E98" s="90" t="str"/>
      <x:c r="F98" s="90" t="str"/>
      <x:c r="G98" s="90" t="str"/>
      <x:c r="H98" s="90" t="str"/>
      <x:c r="I98" s="98" t="str"/>
      <x:c r="J98" s="98" t="str"/>
      <x:c r="K98" s="90" t="str"/>
      <x:c r="L98" s="98" t="str"/>
      <x:c r="M98" s="98" t="str">
        <x:f>IFERROR(VLOOKUP(B98,'Company Ranking'!$B$5:$H$200,7,FALSE),"")</x:f>
      </x:c>
      <x:c r="N98" s="90" t="str">
        <x:f>IF(A98="","",IF(OR(E98="Yes",F98="No",G98="No",H98="No"),"SKIP",IF(E98="Verify","VERIFY","ELIGIBLE")))</x:f>
      </x:c>
      <x:c r="O98" s="98" t="str">
        <x:f>IF(A98="","",IF(N98="SKIP",0,0.30*M98+0.25*I98+0.25*J98+0.08*IF(K98="Yes",1,0.75)+0.12*L98))</x:f>
      </x:c>
      <x:c r="P98" s="90" t="str">
        <x:f>IF(A98="","",IF(N98="SKIP","Skip",IF(N98="VERIFY","Verify CPT first",IF(O98&gt;=0.75,"Apply immediately",IF(O98&gt;=0.60,"High priority",IF(O98&gt;=0.45,"Apply","Low priority"))))))</x:f>
      </x:c>
      <x:c r="Q98" s="90" t="str">
        <x:f>IF(A98="","",IF(COUNTA(I98:J98)&lt;2,"Incomplete",IF(E98="Verify","Posting verified; CPT unresolved","Posting-informed")))</x:f>
      </x:c>
      <x:c r="R98" s="90" t="str"/>
    </x:row>
    <x:row r="99" ht="36" customHeight="1">
      <x:c r="A99" s="90" t="str"/>
      <x:c r="B99" s="90" t="str"/>
      <x:c r="C99" s="90" t="str"/>
      <x:c r="D99" s="90" t="str"/>
      <x:c r="E99" s="90" t="str"/>
      <x:c r="F99" s="90" t="str"/>
      <x:c r="G99" s="90" t="str"/>
      <x:c r="H99" s="90" t="str"/>
      <x:c r="I99" s="98" t="str"/>
      <x:c r="J99" s="98" t="str"/>
      <x:c r="K99" s="90" t="str"/>
      <x:c r="L99" s="98" t="str"/>
      <x:c r="M99" s="98" t="str">
        <x:f>IFERROR(VLOOKUP(B99,'Company Ranking'!$B$5:$H$200,7,FALSE),"")</x:f>
      </x:c>
      <x:c r="N99" s="90" t="str">
        <x:f>IF(A99="","",IF(OR(E99="Yes",F99="No",G99="No",H99="No"),"SKIP",IF(E99="Verify","VERIFY","ELIGIBLE")))</x:f>
      </x:c>
      <x:c r="O99" s="98" t="str">
        <x:f>IF(A99="","",IF(N99="SKIP",0,0.30*M99+0.25*I99+0.25*J99+0.08*IF(K99="Yes",1,0.75)+0.12*L99))</x:f>
      </x:c>
      <x:c r="P99" s="90" t="str">
        <x:f>IF(A99="","",IF(N99="SKIP","Skip",IF(N99="VERIFY","Verify CPT first",IF(O99&gt;=0.75,"Apply immediately",IF(O99&gt;=0.60,"High priority",IF(O99&gt;=0.45,"Apply","Low priority"))))))</x:f>
      </x:c>
      <x:c r="Q99" s="90" t="str">
        <x:f>IF(A99="","",IF(COUNTA(I99:J99)&lt;2,"Incomplete",IF(E99="Verify","Posting verified; CPT unresolved","Posting-informed")))</x:f>
      </x:c>
      <x:c r="R99" s="90" t="str"/>
    </x:row>
    <x:row r="100" ht="36" customHeight="1">
      <x:c r="A100" s="90" t="str"/>
      <x:c r="B100" s="90" t="str"/>
      <x:c r="C100" s="90" t="str"/>
      <x:c r="D100" s="90" t="str"/>
      <x:c r="E100" s="90" t="str"/>
      <x:c r="F100" s="90" t="str"/>
      <x:c r="G100" s="90" t="str"/>
      <x:c r="H100" s="90" t="str"/>
      <x:c r="I100" s="98" t="str"/>
      <x:c r="J100" s="98" t="str"/>
      <x:c r="K100" s="90" t="str"/>
      <x:c r="L100" s="98" t="str"/>
      <x:c r="M100" s="98" t="str">
        <x:f>IFERROR(VLOOKUP(B100,'Company Ranking'!$B$5:$H$200,7,FALSE),"")</x:f>
      </x:c>
      <x:c r="N100" s="90" t="str">
        <x:f>IF(A100="","",IF(OR(E100="Yes",F100="No",G100="No",H100="No"),"SKIP",IF(E100="Verify","VERIFY","ELIGIBLE")))</x:f>
      </x:c>
      <x:c r="O100" s="98" t="str">
        <x:f>IF(A100="","",IF(N100="SKIP",0,0.30*M100+0.25*I100+0.25*J100+0.08*IF(K100="Yes",1,0.75)+0.12*L100))</x:f>
      </x:c>
      <x:c r="P100" s="90" t="str">
        <x:f>IF(A100="","",IF(N100="SKIP","Skip",IF(N100="VERIFY","Verify CPT first",IF(O100&gt;=0.75,"Apply immediately",IF(O100&gt;=0.60,"High priority",IF(O100&gt;=0.45,"Apply","Low priority"))))))</x:f>
      </x:c>
      <x:c r="Q100" s="90" t="str">
        <x:f>IF(A100="","",IF(COUNTA(I100:J100)&lt;2,"Incomplete",IF(E100="Verify","Posting verified; CPT unresolved","Posting-informed")))</x:f>
      </x:c>
      <x:c r="R100" s="90" t="str"/>
    </x:row>
    <x:row r="101" ht="36" customHeight="1">
      <x:c r="A101" s="90" t="str"/>
      <x:c r="B101" s="90" t="str"/>
      <x:c r="C101" s="90" t="str"/>
      <x:c r="D101" s="90" t="str"/>
      <x:c r="E101" s="90" t="str"/>
      <x:c r="F101" s="90" t="str"/>
      <x:c r="G101" s="90" t="str"/>
      <x:c r="H101" s="90" t="str"/>
      <x:c r="I101" s="98" t="str"/>
      <x:c r="J101" s="98" t="str"/>
      <x:c r="K101" s="90" t="str"/>
      <x:c r="L101" s="98" t="str"/>
      <x:c r="M101" s="98" t="str">
        <x:f>IFERROR(VLOOKUP(B101,'Company Ranking'!$B$5:$H$200,7,FALSE),"")</x:f>
      </x:c>
      <x:c r="N101" s="90" t="str">
        <x:f>IF(A101="","",IF(OR(E101="Yes",F101="No",G101="No",H101="No"),"SKIP",IF(E101="Verify","VERIFY","ELIGIBLE")))</x:f>
      </x:c>
      <x:c r="O101" s="98" t="str">
        <x:f>IF(A101="","",IF(N101="SKIP",0,0.30*M101+0.25*I101+0.25*J101+0.08*IF(K101="Yes",1,0.75)+0.12*L101))</x:f>
      </x:c>
      <x:c r="P101" s="90" t="str">
        <x:f>IF(A101="","",IF(N101="SKIP","Skip",IF(N101="VERIFY","Verify CPT first",IF(O101&gt;=0.75,"Apply immediately",IF(O101&gt;=0.60,"High priority",IF(O101&gt;=0.45,"Apply","Low priority"))))))</x:f>
      </x:c>
      <x:c r="Q101" s="90" t="str">
        <x:f>IF(A101="","",IF(COUNTA(I101:J101)&lt;2,"Incomplete",IF(E101="Verify","Posting verified; CPT unresolved","Posting-informed")))</x:f>
      </x:c>
      <x:c r="R101" s="90" t="str"/>
    </x:row>
    <x:row r="102" ht="36" customHeight="1">
      <x:c r="A102" s="90" t="str"/>
      <x:c r="B102" s="90" t="str"/>
      <x:c r="C102" s="90" t="str"/>
      <x:c r="D102" s="90" t="str"/>
      <x:c r="E102" s="90" t="str"/>
      <x:c r="F102" s="90" t="str"/>
      <x:c r="G102" s="90" t="str"/>
      <x:c r="H102" s="90" t="str"/>
      <x:c r="I102" s="98" t="str"/>
      <x:c r="J102" s="98" t="str"/>
      <x:c r="K102" s="90" t="str"/>
      <x:c r="L102" s="98" t="str"/>
      <x:c r="M102" s="98" t="str">
        <x:f>IFERROR(VLOOKUP(B102,'Company Ranking'!$B$5:$H$200,7,FALSE),"")</x:f>
      </x:c>
      <x:c r="N102" s="90" t="str">
        <x:f>IF(A102="","",IF(OR(E102="Yes",F102="No",G102="No",H102="No"),"SKIP",IF(E102="Verify","VERIFY","ELIGIBLE")))</x:f>
      </x:c>
      <x:c r="O102" s="98" t="str">
        <x:f>IF(A102="","",IF(N102="SKIP",0,0.30*M102+0.25*I102+0.25*J102+0.08*IF(K102="Yes",1,0.75)+0.12*L102))</x:f>
      </x:c>
      <x:c r="P102" s="90" t="str">
        <x:f>IF(A102="","",IF(N102="SKIP","Skip",IF(N102="VERIFY","Verify CPT first",IF(O102&gt;=0.75,"Apply immediately",IF(O102&gt;=0.60,"High priority",IF(O102&gt;=0.45,"Apply","Low priority"))))))</x:f>
      </x:c>
      <x:c r="Q102" s="90" t="str">
        <x:f>IF(A102="","",IF(COUNTA(I102:J102)&lt;2,"Incomplete",IF(E102="Verify","Posting verified; CPT unresolved","Posting-informed")))</x:f>
      </x:c>
      <x:c r="R102" s="90" t="str"/>
    </x:row>
    <x:row r="103" ht="36" customHeight="1">
      <x:c r="A103" s="90" t="str"/>
      <x:c r="B103" s="90" t="str"/>
      <x:c r="C103" s="90" t="str"/>
      <x:c r="D103" s="90" t="str"/>
      <x:c r="E103" s="90" t="str"/>
      <x:c r="F103" s="90" t="str"/>
      <x:c r="G103" s="90" t="str"/>
      <x:c r="H103" s="90" t="str"/>
      <x:c r="I103" s="98" t="str"/>
      <x:c r="J103" s="98" t="str"/>
      <x:c r="K103" s="90" t="str"/>
      <x:c r="L103" s="98" t="str"/>
      <x:c r="M103" s="98" t="str">
        <x:f>IFERROR(VLOOKUP(B103,'Company Ranking'!$B$5:$H$200,7,FALSE),"")</x:f>
      </x:c>
      <x:c r="N103" s="90" t="str">
        <x:f>IF(A103="","",IF(OR(E103="Yes",F103="No",G103="No",H103="No"),"SKIP",IF(E103="Verify","VERIFY","ELIGIBLE")))</x:f>
      </x:c>
      <x:c r="O103" s="98" t="str">
        <x:f>IF(A103="","",IF(N103="SKIP",0,0.30*M103+0.25*I103+0.25*J103+0.08*IF(K103="Yes",1,0.75)+0.12*L103))</x:f>
      </x:c>
      <x:c r="P103" s="90" t="str">
        <x:f>IF(A103="","",IF(N103="SKIP","Skip",IF(N103="VERIFY","Verify CPT first",IF(O103&gt;=0.75,"Apply immediately",IF(O103&gt;=0.60,"High priority",IF(O103&gt;=0.45,"Apply","Low priority"))))))</x:f>
      </x:c>
      <x:c r="Q103" s="90" t="str">
        <x:f>IF(A103="","",IF(COUNTA(I103:J103)&lt;2,"Incomplete",IF(E103="Verify","Posting verified; CPT unresolved","Posting-informed")))</x:f>
      </x:c>
      <x:c r="R103" s="90" t="str"/>
    </x:row>
    <x:row r="104" ht="36" customHeight="1">
      <x:c r="A104" s="91" t="str"/>
      <x:c r="B104" s="91" t="str"/>
      <x:c r="C104" s="91" t="str"/>
      <x:c r="D104" s="91" t="str"/>
      <x:c r="E104" s="91" t="str"/>
      <x:c r="F104" s="91" t="str"/>
      <x:c r="G104" s="91" t="str"/>
      <x:c r="H104" s="91" t="str"/>
      <x:c r="I104" s="99" t="str"/>
      <x:c r="J104" s="99" t="str"/>
      <x:c r="K104" s="91" t="str"/>
      <x:c r="L104" s="99" t="str"/>
      <x:c r="M104" s="99" t="str">
        <x:f>IFERROR(VLOOKUP(B104,'Company Ranking'!$B$5:$H$200,7,FALSE),"")</x:f>
      </x:c>
      <x:c r="N104" s="91" t="str">
        <x:f>IF(A104="","",IF(OR(E104="Yes",F104="No",G104="No",H104="No"),"SKIP",IF(E104="Verify","VERIFY","ELIGIBLE")))</x:f>
      </x:c>
      <x:c r="O104" s="99" t="str">
        <x:f>IF(A104="","",IF(N104="SKIP",0,0.30*M104+0.25*I104+0.25*J104+0.08*IF(K104="Yes",1,0.75)+0.12*L104))</x:f>
      </x:c>
      <x:c r="P104" s="91" t="str">
        <x:f>IF(A104="","",IF(N104="SKIP","Skip",IF(N104="VERIFY","Verify CPT first",IF(O104&gt;=0.75,"Apply immediately",IF(O104&gt;=0.60,"High priority",IF(O104&gt;=0.45,"Apply","Low priority"))))))</x:f>
      </x:c>
      <x:c r="Q104" s="91" t="str">
        <x:f>IF(A104="","",IF(COUNTA(I104:J104)&lt;2,"Incomplete",IF(E104="Verify","Posting verified; CPT unresolved","Posting-informed")))</x:f>
      </x:c>
      <x:c r="R104" s="91" t="str"/>
    </x:row>
  </x:sheetData>
  <x:mergeCells>
    <x:mergeCell ref="A1:S1"/>
    <x:mergeCell ref="A2:S2"/>
  </x:mergeCells>
  <x:conditionalFormatting sqref="N5:N104">
    <x:cfRule type="expression" dxfId="6" priority="1">
      <x:formula>N5="SKIP"</x:formula>
    </x:cfRule>
    <x:cfRule type="expression" dxfId="7" priority="2">
      <x:formula>N5="VERIFY"</x:formula>
    </x:cfRule>
    <x:cfRule type="expression" dxfId="8" priority="3">
      <x:formula>N5="ELIGIBLE"</x:formula>
    </x:cfRule>
  </x:conditionalFormatting>
  <x:dataValidations count="5">
    <x:dataValidation type="list" sqref="E5:E104">
      <x:formula1>"No,Verify,Yes"</x:formula1>
    </x:dataValidation>
    <x:dataValidation type="list" sqref="F5:F104">
      <x:formula1>"Yes,No"</x:formula1>
    </x:dataValidation>
    <x:dataValidation type="list" sqref="G5:G104">
      <x:formula1>"Yes,No"</x:formula1>
    </x:dataValidation>
    <x:dataValidation type="list" sqref="H5:H104">
      <x:formula1>"Yes,No"</x:formula1>
    </x:dataValidation>
    <x:dataValidation type="list" sqref="K5:K104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f80f61ad30d4447b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70" hidden="0" customWidth="1"/>
    <x:col min="3" max="3" width="75" hidden="0" customWidth="1"/>
    <x:col min="4" max="4" width="78" hidden="0" customWidth="1"/>
  </x:cols>
  <x:sheetData>
    <x:row r="1" ht="34" customHeight="1">
      <x:c r="A1" s="4" t="str">
        <x:v>LinkedIn Network Layer</x:v>
      </x:c>
      <x:c r="B1" s="4"/>
      <x:c r="C1" s="4"/>
      <x:c r="D1" s="4"/>
      <x:c r="E1" s="4"/>
      <x:c r="F1" s="4"/>
      <x:c r="G1" s="4"/>
      <x:c r="H1" s="4"/>
    </x:row>
    <x:row r="2" ht="29" customHeight="1">
      <x:c r="A2" s="11" t="str">
        <x:v>Connector result is intentionally separated from inferred network evidence.</x:v>
      </x:c>
      <x:c r="B2" s="11"/>
      <x:c r="C2" s="11"/>
      <x:c r="D2" s="11"/>
      <x:c r="E2" s="11"/>
      <x:c r="F2" s="11"/>
      <x:c r="G2" s="11"/>
      <x:c r="H2" s="11"/>
    </x:row>
    <x:row r="4" ht="32" customHeight="1">
      <x:c r="A4" s="79" t="str">
        <x:v>Item</x:v>
      </x:c>
      <x:c r="B4" s="79" t="str">
        <x:v>Current status</x:v>
      </x:c>
      <x:c r="C4" s="79" t="str">
        <x:v>Model treatment</x:v>
      </x:c>
      <x:c r="D4" s="79" t="str">
        <x:v>What the ZIP will add</x:v>
      </x:c>
    </x:row>
    <x:row r="5" ht="62" customHeight="1">
      <x:c r="A5" s="90" t="str">
        <x:v>Ahaan profile</x:v>
      </x:c>
      <x:c r="B5" s="90" t="str">
        <x:v>Located: linkedin.com/in/ahaan-anand-714b63283</x:v>
      </x:c>
      <x:c r="C5" s="90" t="str">
        <x:v>Resume is the authoritative candidate profile; LinkedIn URL is recorded.</x:v>
      </x:c>
      <x:c r="D5" s="90" t="str">
        <x:v>Position/education consistency check.</x:v>
      </x:c>
    </x:row>
    <x:row r="6" ht="62" customHeight="1">
      <x:c r="A6" s="90" t="str">
        <x:v>518 connections</x:v>
      </x:c>
      <x:c r="B6" s="90" t="str">
        <x:v>Not exposed by the installed LinkedIn connector</x:v>
      </x:c>
      <x:c r="C6" s="90" t="str">
        <x:v>Neutral network prior for most companies; no invented referral bonus.</x:v>
      </x:c>
      <x:c r="D6" s="90" t="str">
        <x:v>Names, URLs, current companies, titles and connection dates.</x:v>
      </x:c>
    </x:row>
    <x:row r="7" ht="62" customHeight="1">
      <x:c r="A7" s="90" t="str">
        <x:v>Near peers</x:v>
      </x:c>
      <x:c r="B7" s="90" t="str">
        <x:v>Not yet available as structured data</x:v>
      </x:c>
      <x:c r="C7" s="90" t="str">
        <x:v>No student trajectory is counted unless manually verified.</x:v>
      </x:c>
      <x:c r="D7" s="90" t="str">
        <x:v>Recent VT students/alumni, 2024–2028 graduates and analytics interns.</x:v>
      </x:c>
    </x:row>
    <x:row r="8" ht="62" customHeight="1">
      <x:c r="A8" s="90" t="str">
        <x:v>Referral paths</x:v>
      </x:c>
      <x:c r="B8" s="90" t="str">
        <x:v>Only known VT/VA/ALSAC signals included</x:v>
      </x:c>
      <x:c r="C8" s="90" t="str">
        <x:v>Direct connection is not automatically a referral.</x:v>
      </x:c>
      <x:c r="D8" s="90" t="str">
        <x:v>Company-level connection count and relationship-quality classification.</x:v>
      </x:c>
    </x:row>
    <x:row r="9" ht="62" customHeight="1">
      <x:c r="A9" s="91" t="str">
        <x:v>International status of peers</x:v>
      </x:c>
      <x:c r="B9" s="91" t="str">
        <x:v>Usually not public and not inferred from name/nationality</x:v>
      </x:c>
      <x:c r="C9" s="91" t="str">
        <x:v>Missing rather than guessed.</x:v>
      </x:c>
      <x:c r="D9" s="91" t="str">
        <x:v>Only explicit F-1/international evidence is used.</x:v>
      </x:c>
    </x:row>
    <x:row r="11">
      <x:c r="A11" s="113" t="str">
        <x:v>When the archive arrives: filter to U.S. target-company employees, Virginia Tech students/alumni, recent interns, recruiters and former ALSAC employees. Enrich only the relevant subset. The network feature will then be updated using connection type, team proximity, shared VT/ALSAC path and relationship strength—not raw connection count alone.</x:v>
      </x:c>
      <x:c r="B11" s="113"/>
      <x:c r="C11" s="113"/>
      <x:c r="D11" s="113"/>
      <x:c r="E11" s="113"/>
      <x:c r="F11" s="113"/>
      <x:c r="G11" s="113"/>
      <x:c r="H11" s="113"/>
    </x:row>
    <x:row r="12">
      <x:c r="A12" s="113"/>
      <x:c r="B12" s="113"/>
      <x:c r="C12" s="113"/>
      <x:c r="D12" s="113"/>
      <x:c r="E12" s="113"/>
      <x:c r="F12" s="113"/>
      <x:c r="G12" s="113"/>
      <x:c r="H12" s="113"/>
    </x:row>
    <x:row r="13">
      <x:c r="A13" s="113"/>
      <x:c r="B13" s="113"/>
      <x:c r="C13" s="113"/>
      <x:c r="D13" s="113"/>
      <x:c r="E13" s="113"/>
      <x:c r="F13" s="113"/>
      <x:c r="G13" s="113"/>
      <x:c r="H13" s="113"/>
    </x:row>
    <x:row r="14">
      <x:c r="A14" s="113"/>
      <x:c r="B14" s="113"/>
      <x:c r="C14" s="113"/>
      <x:c r="D14" s="113"/>
      <x:c r="E14" s="113"/>
      <x:c r="F14" s="113"/>
      <x:c r="G14" s="113"/>
      <x:c r="H14" s="113"/>
    </x:row>
    <x:row r="15">
      <x:c r="A15" s="113"/>
      <x:c r="B15" s="113"/>
      <x:c r="C15" s="113"/>
      <x:c r="D15" s="113"/>
      <x:c r="E15" s="113"/>
      <x:c r="F15" s="113"/>
      <x:c r="G15" s="113"/>
      <x:c r="H15" s="113"/>
    </x:row>
  </x:sheetData>
  <x:mergeCells>
    <x:mergeCell ref="A1:H1"/>
    <x:mergeCell ref="A2:H2"/>
    <x:mergeCell ref="A11:H15"/>
  </x:mergeCells>
  <x:pageMargins left="0.7" right="0.7" top="0.75" bottom="0.75" header="0.3" footer="0.3"/>
  <x:tableParts count="1">
    <x:tablePart xmlns:r="http://schemas.openxmlformats.org/officeDocument/2006/relationships" r:id="R535112c4f9d845f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4" hidden="0" customWidth="1"/>
    <x:col min="3" max="3" width="14" hidden="0" customWidth="1"/>
    <x:col min="4" max="4" width="98" hidden="0" customWidth="1"/>
  </x:cols>
  <x:sheetData>
    <x:row r="1" ht="34" customHeight="1">
      <x:c r="A1" s="4" t="str">
        <x:v>Model Architecture and Validation</x:v>
      </x:c>
      <x:c r="B1" s="4"/>
      <x:c r="C1" s="4"/>
      <x:c r="D1" s="4"/>
      <x:c r="E1" s="4"/>
      <x:c r="F1" s="4"/>
    </x:row>
    <x:row r="2" ht="29" customHeight="1">
      <x:c r="A2" s="11" t="str">
        <x:v>The ranking uses stochastic multi-criteria acceptability analysis rather than one hidden weight vector.</x:v>
      </x:c>
      <x:c r="B2" s="11"/>
      <x:c r="C2" s="11"/>
      <x:c r="D2" s="11"/>
      <x:c r="E2" s="11"/>
      <x:c r="F2" s="11"/>
    </x:row>
    <x:row r="4" ht="32" customHeight="1">
      <x:c r="A4" s="79" t="str">
        <x:v>Component</x:v>
      </x:c>
      <x:c r="B4" s="79" t="str">
        <x:v>Implementation</x:v>
      </x:c>
      <x:c r="C4" s="79" t="str">
        <x:v>Why it matters</x:v>
      </x:c>
    </x:row>
    <x:row r="5" ht="58" customHeight="1">
      <x:c r="A5" s="90" t="str">
        <x:v>Unit</x:v>
      </x:c>
      <x:c r="B5" s="90" t="str">
        <x:v>Company-level search priority before a posting opens; exact roles use the Role-Level Model.</x:v>
      </x:c>
      <x:c r="C5" s="90" t="str">
        <x:v>Avoids pretending every role at a company is equivalent.</x:v>
      </x:c>
    </x:row>
    <x:row r="6" ht="58" customHeight="1">
      <x:c r="A6" s="90" t="str">
        <x:v>CPT first</x:v>
      </x:c>
      <x:c r="B6" s="90" t="str">
        <x:v>CPT/international feasibility receives the largest weight range. Exact posting wording is a hard gate.</x:v>
      </x:c>
      <x:c r="C6" s="90" t="str">
        <x:v>Matches Ahaan's F-1 constraints without treating DOL sponsorship history as CPT proof.</x:v>
      </x:c>
    </x:row>
    <x:row r="7" ht="58" customHeight="1">
      <x:c r="A7" s="90" t="str">
        <x:v>Ahaan-specific fit</x:v>
      </x:c>
      <x:c r="B7" s="90" t="str">
        <x:v>Résumé TF-IDF similarity, curated role-family fit and explicit experience-path bonuses.</x:v>
      </x:c>
      <x:c r="C7" s="90" t="str">
        <x:v>Uses ALSAC, Mankind, Kajaria, research, publications, RA leadership and skills—not a generic data résumé.</x:v>
      </x:c>
    </x:row>
    <x:row r="8" ht="58" customHeight="1">
      <x:c r="A8" s="90" t="str">
        <x:v>Historical opportunity</x:v>
      </x:c>
      <x:c r="B8" s="90" t="str">
        <x:v>65 observed 2025–2027 roles; relevance, recency and degree access are adjusted.</x:v>
      </x:c>
      <x:c r="C8" s="90" t="str">
        <x:v>Distinguishes recurring undergraduate analytics lanes from graduate-skewed or off-target roles.</x:v>
      </x:c>
    </x:row>
    <x:row r="9" ht="58" customHeight="1">
      <x:c r="A9" s="90" t="str">
        <x:v>Coverage-bias correction</x:v>
      </x:c>
      <x:c r="B9" s="90" t="str">
        <x:v>Missing tracker evidence is neutral; role-family undergraduate priors prevent tech trackers from penalizing consulting.</x:v>
      </x:c>
      <x:c r="C9" s="90" t="str">
        <x:v>Public GitHub lists over-cover tech and under-cover economic consulting.</x:v>
      </x:c>
    </x:row>
    <x:row r="10" ht="58" customHeight="1">
      <x:c r="A10" s="90" t="str">
        <x:v>Preferences</x:v>
      </x:c>
      <x:c r="B10" s="90" t="str">
        <x:v>Modern tech, fintech/payments, data platforms, marketplaces, media and consulting favored; disliked industries downweighted.</x:v>
      </x:c>
      <x:c r="C10" s="90" t="str">
        <x:v>The model represents Ahaan's actual willingness to work there.</x:v>
      </x:c>
    </x:row>
    <x:row r="11" ht="58" customHeight="1">
      <x:c r="A11" s="90" t="str">
        <x:v>Network</x:v>
      </x:c>
      <x:c r="B11" s="90" t="str">
        <x:v>Only known VT/VA/ALSAC signals count. LinkedIn graph is neutral until export.</x:v>
      </x:c>
      <x:c r="C11" s="90" t="str">
        <x:v>Prevents a false referral advantage.</x:v>
      </x:c>
    </x:row>
    <x:row r="12" ht="58" customHeight="1">
      <x:c r="A12" s="90" t="str">
        <x:v>Claude prior</x:v>
      </x:c>
      <x:c r="B12" s="90" t="str">
        <x:v>Claude's original model contributes 8–15% with high uncertainty.</x:v>
      </x:c>
      <x:c r="C12" s="90" t="str">
        <x:v>Useful starting knowledge, but it cannot dominate observed evidence.</x:v>
      </x:c>
    </x:row>
    <x:row r="13" ht="58" customHeight="1">
      <x:c r="A13" s="90" t="str">
        <x:v>Simulation</x:v>
      </x:c>
      <x:c r="B13" s="90" t="str">
        <x:v>60,000 draws vary criterion weights and feature values according to evidence uncertainty.</x:v>
      </x:c>
      <x:c r="C13" s="90" t="str">
        <x:v>Produces rank distributions instead of a brittle exact order.</x:v>
      </x:c>
    </x:row>
    <x:row r="14" ht="58" customHeight="1">
      <x:c r="A14" s="90" t="str">
        <x:v>Outputs</x:v>
      </x:c>
      <x:c r="B14" s="90" t="str">
        <x:v>Median rank, 10th–90th rank, P(top20), P(top40), tier and stability.</x:v>
      </x:c>
      <x:c r="C14" s="90" t="str">
        <x:v>Shows when two companies are statistically indistinguishable.</x:v>
      </x:c>
    </x:row>
    <x:row r="15" ht="58" customHeight="1">
      <x:c r="A15" s="91" t="str">
        <x:v>Validation status</x:v>
      </x:c>
      <x:c r="B15" s="91" t="str">
        <x:v>Not yet calibrated to interview outcomes; ranking model only.</x:v>
      </x:c>
      <x:c r="C15" s="91" t="str">
        <x:v>Do not interpret the rank as an interview probability.</x:v>
      </x:c>
    </x:row>
    <x:row r="17">
      <x:c r="A17" s="71" t="str">
        <x:v>Weight ranges sampled in every simulation</x:v>
      </x:c>
      <x:c r="B17" s="71"/>
      <x:c r="C17" s="71"/>
      <x:c r="D17" s="71"/>
      <x:c r="E17" s="71"/>
      <x:c r="F17" s="71"/>
    </x:row>
    <x:row r="18" ht="32" customHeight="1">
      <x:c r="A18" s="79" t="str">
        <x:v>Criterion</x:v>
      </x:c>
      <x:c r="B18" s="79" t="str">
        <x:v>Minimum</x:v>
      </x:c>
      <x:c r="C18" s="79" t="str">
        <x:v>Maximum</x:v>
      </x:c>
      <x:c r="D18" s="79" t="str">
        <x:v>Reason</x:v>
      </x:c>
    </x:row>
    <x:row r="19" ht="44" customHeight="1">
      <x:c r="A19" s="90" t="str">
        <x:v>CPT / international feasibility</x:v>
      </x:c>
      <x:c r="B19" s="98" t="n">
        <x:v>0.25</x:v>
      </x:c>
      <x:c r="C19" s="98" t="n">
        <x:v>0.35</x:v>
      </x:c>
      <x:c r="D19" s="90" t="str">
        <x:v>First criterion; exact posting language overrides company prior.</x:v>
      </x:c>
    </x:row>
    <x:row r="20" ht="44" customHeight="1">
      <x:c r="A20" s="90" t="str">
        <x:v>Ahaan-specific role fit</x:v>
      </x:c>
      <x:c r="B20" s="98" t="n">
        <x:v>0.25</x:v>
      </x:c>
      <x:c r="C20" s="98" t="n">
        <x:v>0.35</x:v>
      </x:c>
      <x:c r="D20" s="90" t="str">
        <x:v>Resume, role family, internships, research, leadership and consumer/economic alignment.</x:v>
      </x:c>
    </x:row>
    <x:row r="21" ht="44" customHeight="1">
      <x:c r="A21" s="90" t="str">
        <x:v>Historical opportunity / undergrad access</x:v>
      </x:c>
      <x:c r="B21" s="98" t="n">
        <x:v>0.1</x:v>
      </x:c>
      <x:c r="C21" s="98" t="n">
        <x:v>0.18</x:v>
      </x:c>
      <x:c r="D21" s="90" t="str">
        <x:v>Observed 2025–2027 roles with degree-level and relevance adjustments.</x:v>
      </x:c>
    </x:row>
    <x:row r="22" ht="44" customHeight="1">
      <x:c r="A22" s="90" t="str">
        <x:v>Explicit industry preference</x:v>
      </x:c>
      <x:c r="B22" s="98" t="n">
        <x:v>0.08</x:v>
      </x:c>
      <x:c r="C22" s="98" t="n">
        <x:v>0.15</x:v>
      </x:c>
      <x:c r="D22" s="90" t="str">
        <x:v>Modern tech/fintech/data/consulting favored; disliked industries downweighted.</x:v>
      </x:c>
    </x:row>
    <x:row r="23" ht="44" customHeight="1">
      <x:c r="A23" s="90" t="str">
        <x:v>VT / network prior</x:v>
      </x:c>
      <x:c r="B23" s="98" t="n">
        <x:v>0.04</x:v>
      </x:c>
      <x:c r="C23" s="98" t="n">
        <x:v>0.1</x:v>
      </x:c>
      <x:c r="D23" s="90" t="str">
        <x:v>Only verified VT/VA/ALSAC signals; LinkedIn graph remains neutral until export.</x:v>
      </x:c>
    </x:row>
    <x:row r="24" ht="44" customHeight="1">
      <x:c r="A24" s="90" t="str">
        <x:v>GPA compatibility</x:v>
      </x:c>
      <x:c r="B24" s="98" t="n">
        <x:v>0.02</x:v>
      </x:c>
      <x:c r="C24" s="98" t="n">
        <x:v>0.06</x:v>
      </x:c>
      <x:c r="D24" s="90" t="str">
        <x:v>3.31 cumulative and ~3.7 second-year trend; exact posting thresholds override.</x:v>
      </x:c>
    </x:row>
    <x:row r="25" ht="44" customHeight="1">
      <x:c r="A25" s="91" t="str">
        <x:v>Claude model prior</x:v>
      </x:c>
      <x:c r="B25" s="99" t="n">
        <x:v>0.08</x:v>
      </x:c>
      <x:c r="C25" s="99" t="n">
        <x:v>0.15</x:v>
      </x:c>
      <x:c r="D25" s="91" t="str">
        <x:v>Retained as a noisy prior with high uncertainty, never the final answer.</x:v>
      </x:c>
    </x:row>
  </x:sheetData>
  <x:mergeCells>
    <x:mergeCell ref="A1:F1"/>
    <x:mergeCell ref="A2:F2"/>
    <x:mergeCell ref="A17:F17"/>
  </x:mergeCells>
  <x:pageMargins left="0.7" right="0.7" top="0.75" bottom="0.75" header="0.3" footer="0.3"/>
  <x:tableParts count="1">
    <x:tablePart xmlns:r="http://schemas.openxmlformats.org/officeDocument/2006/relationships" r:id="Ra9c08691ee2d4d5d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100" hidden="0" customWidth="1"/>
    <x:col min="3" max="3" width="82" hidden="0" customWidth="1"/>
  </x:cols>
  <x:sheetData>
    <x:row r="1" ht="34" customHeight="1">
      <x:c r="A1" s="4" t="str">
        <x:v>Source Register</x:v>
      </x:c>
      <x:c r="B1" s="4"/>
      <x:c r="C1" s="4"/>
    </x:row>
    <x:row r="2" ht="29" customHeight="1">
      <x:c r="A2" s="11" t="str">
        <x:v>Employer postings override trackers. DOL sponsorship history is a proxy for long-term sponsorship, never proof of CPT acceptance.</x:v>
      </x:c>
      <x:c r="B2" s="11"/>
      <x:c r="C2" s="11"/>
    </x:row>
    <x:row r="4" ht="32" customHeight="1">
      <x:c r="A4" s="79" t="str">
        <x:v>Source</x:v>
      </x:c>
      <x:c r="B4" s="79" t="str">
        <x:v>Location / URL</x:v>
      </x:c>
      <x:c r="C4" s="79" t="str">
        <x:v>Use</x:v>
      </x:c>
    </x:row>
    <x:row r="5" ht="50" customHeight="1">
      <x:c r="A5" s="90" t="str">
        <x:v>Ahaan resume</x:v>
      </x:c>
      <x:c r="B5" s="90" t="str">
        <x:v>/mnt/data/Ahaan Anand Resume 2027.docx</x:v>
      </x:c>
      <x:c r="C5" s="90" t="str">
        <x:v>Candidate profile and semantic-fit features.</x:v>
      </x:c>
    </x:row>
    <x:row r="6" ht="50" customHeight="1">
      <x:c r="A6" s="90" t="str">
        <x:v>Uploaded target list</x:v>
      </x:c>
      <x:c r="B6" s="90" t="str">
        <x:v>/mnt/data/Ahaan 2027 Internship Target List(1).xlsx</x:v>
      </x:c>
      <x:c r="C6" s="90" t="str">
        <x:v>Company universe, target programs and Claude prior.</x:v>
      </x:c>
    </x:row>
    <x:row r="7" ht="50" customHeight="1">
      <x:c r="A7" s="90" t="str">
        <x:v>2025 internship archive</x:v>
      </x:c>
      <x:c r="B7" s="90" t="str">
        <x:v>https://raw.githubusercontent.com/SimplifyJobs/Summer2026-Internships/refs/heads/dev/archived/README-2025.md</x:v>
      </x:c>
      <x:c r="C7" s="90" t="str">
        <x:v>Historical role recurrence and title/degree evidence.</x:v>
      </x:c>
    </x:row>
    <x:row r="8" ht="50" customHeight="1">
      <x:c r="A8" s="90" t="str">
        <x:v>2026 inactive archive</x:v>
      </x:c>
      <x:c r="B8" s="90" t="str">
        <x:v>https://raw.githubusercontent.com/SimplifyJobs/Summer2026-Internships/refs/heads/dev/README-Inactive.md</x:v>
      </x:c>
      <x:c r="C8" s="90" t="str">
        <x:v>Historical role recurrence, degree markers and sponsorship/citizenship markers.</x:v>
      </x:c>
    </x:row>
    <x:row r="9" ht="50" customHeight="1">
      <x:c r="A9" s="90" t="str">
        <x:v>2026 active board</x:v>
      </x:c>
      <x:c r="B9" s="90" t="str">
        <x:v>https://raw.githubusercontent.com/SimplifyJobs/Summer2026-Internships/refs/heads/dev/README.md</x:v>
      </x:c>
      <x:c r="C9" s="90" t="str">
        <x:v>Current/late-cycle role evidence.</x:v>
      </x:c>
    </x:row>
    <x:row r="10" ht="50" customHeight="1">
      <x:c r="A10" s="90" t="str">
        <x:v>2027 tracker</x:v>
      </x:c>
      <x:c r="B10" s="90" t="str">
        <x:v>https://raw.githubusercontent.com/sndsh404/summer-2027-internships/main/README.md</x:v>
      </x:c>
      <x:c r="C10" s="90" t="str">
        <x:v>Early Summer 2027 posting evidence.</x:v>
      </x:c>
    </x:row>
    <x:row r="11" ht="50" customHeight="1">
      <x:c r="A11" s="90" t="str">
        <x:v>DOL OFLC performance data</x:v>
      </x:c>
      <x:c r="B11" s="90" t="str">
        <x:v>https://www.dol.gov/agencies/eta/foreign-labor/performance</x:v>
      </x:c>
      <x:c r="C11" s="90" t="str">
        <x:v>Official LCA/PERM disclosure source; company sponsorship is a proxy, not CPT proof.</x:v>
      </x:c>
    </x:row>
    <x:row r="12" ht="50" customHeight="1">
      <x:c r="A12" s="90" t="str">
        <x:v>Bank of America QDAP</x:v>
      </x:c>
      <x:c r="B12" s="90" t="str">
        <x:v>https://careers.bankofamerica.com/en-us/students/job-detail/14420/quantitative-data-analyst-summer-analyst-program-multiple-locations</x:v>
      </x:c>
      <x:c r="C12" s="90" t="str">
        <x:v>Current exact role evidence.</x:v>
      </x:c>
    </x:row>
    <x:row r="13" ht="50" customHeight="1">
      <x:c r="A13" s="90" t="str">
        <x:v>Bank of America BA</x:v>
      </x:c>
      <x:c r="B13" s="90" t="str">
        <x:v>https://careers.bankofamerica.com/en-us/students/job-detail/14419/global-technology-summer-analyst-2027-business-analyst-multiple-locations</x:v>
      </x:c>
      <x:c r="C13" s="90" t="str">
        <x:v>Posting-level future-sponsorship exclusion example.</x:v>
      </x:c>
    </x:row>
    <x:row r="14" ht="50" customHeight="1">
      <x:c r="A14" s="90" t="str">
        <x:v>BlackRock 2027</x:v>
      </x:c>
      <x:c r="B14" s="90" t="str">
        <x:v>https://careers.blackrock.com/job/new-york/2027-summer-internship-program-amers/45831/90628276544</x:v>
      </x:c>
      <x:c r="C14" s="90" t="str">
        <x:v>Current analytics/risk/modeling internship evidence.</x:v>
      </x:c>
    </x:row>
    <x:row r="15" ht="50" customHeight="1">
      <x:c r="A15" s="91" t="str">
        <x:v>LinkedIn connector</x:v>
      </x:c>
      <x:c r="B15" s="91" t="str">
        <x:v>https://www.linkedin.com/in/ahaan-anand-714b63283</x:v>
      </x:c>
      <x:c r="C15" s="91" t="str">
        <x:v>Public profile URL only; no connection graph was exposed.</x:v>
      </x:c>
    </x:row>
  </x:sheetData>
  <x:mergeCells>
    <x:mergeCell ref="A1:C1"/>
    <x:mergeCell ref="A2:C2"/>
  </x:mergeCells>
  <x:pageMargins left="0.7" right="0.7" top="0.75" bottom="0.75" header="0.3" footer="0.3"/>
  <x:tableParts count="1">
    <x:tablePart xmlns:r="http://schemas.openxmlformats.org/officeDocument/2006/relationships" r:id="Reaba2c101b134401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40" hidden="0" customWidth="1"/>
    <x:col min="2" max="2" width="37" hidden="0" customWidth="1"/>
    <x:col min="3" max="3" width="90" hidden="0" customWidth="1"/>
    <x:col min="4" max="4" width="70" hidden="0" customWidth="1"/>
  </x:cols>
  <x:sheetData>
    <x:row r="1" ht="34" customHeight="1">
      <x:c r="A1" s="4" t="str">
        <x:v>Separate or Excluded Options</x:v>
      </x:c>
      <x:c r="B1" s="4"/>
      <x:c r="C1" s="4"/>
      <x:c r="D1" s="4"/>
      <x:c r="E1" s="4"/>
      <x:c r="F1" s="4"/>
    </x:row>
    <x:row r="2" ht="29" customHeight="1">
      <x:c r="A2" s="11" t="str">
        <x:v>These are not silently mixed into the external company ranking.</x:v>
      </x:c>
      <x:c r="B2" s="11"/>
      <x:c r="C2" s="11"/>
      <x:c r="D2" s="11"/>
      <x:c r="E2" s="11"/>
      <x:c r="F2" s="11"/>
    </x:row>
    <x:row r="4" ht="32" customHeight="1">
      <x:c r="A4" s="79" t="str">
        <x:v>Company / group</x:v>
      </x:c>
      <x:c r="B4" s="79" t="str">
        <x:v>Status</x:v>
      </x:c>
      <x:c r="C4" s="79" t="str">
        <x:v>Reason</x:v>
      </x:c>
      <x:c r="D4" s="79" t="str">
        <x:v>Model treatment</x:v>
      </x:c>
    </x:row>
    <x:row r="5" ht="66" customHeight="1">
      <x:c r="A5" s="90" t="str">
        <x:v>ALSAC / St. Jude</x:v>
      </x:c>
      <x:c r="B5" s="90" t="str">
        <x:v>Return option</x:v>
      </x:c>
      <x:c r="C5" s="90" t="str">
        <x:v>Ahaan currently interns there; strongest direct return path. CEO family relationship is not modeled.</x:v>
      </x:c>
      <x:c r="D5" s="90" t="str">
        <x:v>Tracked separately from the 157-company external search.</x:v>
      </x:c>
    </x:row>
    <x:row r="6" ht="66" customHeight="1">
      <x:c r="A6" s="90" t="str">
        <x:v>Capital One</x:v>
      </x:c>
      <x:c r="B6" s="90" t="str">
        <x:v>Excluded pending policy change</x:v>
      </x:c>
      <x:c r="C6" s="90" t="str">
        <x:v>Verified posting language blocked immigration-related support including CPT/OPT.</x:v>
      </x:c>
      <x:c r="D6" s="90" t="str">
        <x:v>Do not spend time unless a later exact posting has different language.</x:v>
      </x:c>
    </x:row>
    <x:row r="7" ht="66" customHeight="1">
      <x:c r="A7" s="90" t="str">
        <x:v>Two Sigma and SIG/Susquehanna</x:v>
      </x:c>
      <x:c r="B7" s="90" t="str">
        <x:v>Excluded</x:v>
      </x:c>
      <x:c r="C7" s="90" t="str">
        <x:v>Quant firms conflict with Ahaan's stated target role/industry preferences.</x:v>
      </x:c>
      <x:c r="D7" s="90" t="str">
        <x:v>Removed from active ranking.</x:v>
      </x:c>
    </x:row>
    <x:row r="8" ht="66" customHeight="1">
      <x:c r="A8" s="91" t="str">
        <x:v>Insurance / industrial / hospitality companies</x:v>
      </x:c>
      <x:c r="B8" s="91" t="str">
        <x:v>Visible only if retained from uploaded list, heavily deprioritized</x:v>
      </x:c>
      <x:c r="C8" s="91" t="str">
        <x:v>Ahaan stated he does not want these industries.</x:v>
      </x:c>
      <x:c r="D8" s="91" t="str">
        <x:v>Preference score near zero; exact role still visible for auditability.</x:v>
      </x:c>
    </x:row>
  </x:sheetData>
  <x:mergeCells>
    <x:mergeCell ref="A1:F1"/>
    <x:mergeCell ref="A2:F2"/>
  </x:mergeCells>
  <x:pageMargins left="0.7" right="0.7" top="0.75" bottom="0.75" header="0.3" footer="0.3"/>
  <x:tableParts count="1">
    <x:tablePart xmlns:r="http://schemas.openxmlformats.org/officeDocument/2006/relationships" r:id="R3cc6b224e0e144f8"/>
  </x:tableParts>
</x:worksheet>
</file>